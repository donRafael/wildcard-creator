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CE\Desktop\"/>
    </mc:Choice>
  </mc:AlternateContent>
  <workbookProtection workbookAlgorithmName="SHA-512" workbookHashValue="VNx2taEcfUnmuHMrktIFDYHX5oi9cutXNmsIxGyuKqZU4WLi+IXJmQqhDaevXD3Z73mCCXducB6zm6cUrRQ6+g==" workbookSaltValue="L8Bs9gyApTGbnZpbGPdebA==" workbookSpinCount="100000" lockStructure="1"/>
  <bookViews>
    <workbookView xWindow="0" yWindow="0" windowWidth="7845" windowHeight="4590"/>
  </bookViews>
  <sheets>
    <sheet name="MENU" sheetId="2" r:id="rId1"/>
    <sheet name="Affinitas" sheetId="1" r:id="rId2"/>
    <sheet name="Agresso" sheetId="7" r:id="rId3"/>
    <sheet name="Oracle" sheetId="3" r:id="rId4"/>
    <sheet name="info" sheetId="5" state="hidden" r:id="rId5"/>
    <sheet name=";)" sheetId="6" state="hidden" r:id="rId6"/>
  </sheets>
  <calcPr calcId="171026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3" l="1"/>
  <c r="L3" i="3" s="1"/>
  <c r="L4" i="3" s="1"/>
  <c r="L5" i="3" s="1"/>
  <c r="L6" i="3" s="1"/>
  <c r="L7" i="3" s="1"/>
  <c r="L8" i="3" s="1"/>
  <c r="L9" i="3" s="1"/>
  <c r="L10" i="3" s="1"/>
  <c r="L2" i="7"/>
  <c r="L3" i="7" s="1"/>
  <c r="L4" i="7" s="1"/>
  <c r="L5" i="7" s="1"/>
  <c r="L6" i="7" s="1"/>
  <c r="L7" i="7" s="1"/>
  <c r="L8" i="7" s="1"/>
  <c r="L9" i="7" s="1"/>
  <c r="L10" i="7" s="1"/>
  <c r="G2" i="7" l="1"/>
  <c r="G3" i="7" s="1"/>
  <c r="D20" i="7" s="1"/>
  <c r="D21" i="7" s="1"/>
  <c r="D22" i="7" s="1"/>
  <c r="D23" i="7" s="1"/>
  <c r="D24" i="7" s="1"/>
  <c r="D25" i="7" s="1"/>
  <c r="D26" i="7" s="1"/>
  <c r="D27" i="7" s="1"/>
  <c r="G5" i="7" s="1"/>
  <c r="G7" i="7" s="1"/>
  <c r="C15" i="7" s="1"/>
  <c r="C14" i="7" s="1"/>
  <c r="C6" i="7" s="1"/>
  <c r="G2" i="3" l="1"/>
  <c r="G3" i="3" s="1"/>
  <c r="D20" i="3" s="1"/>
  <c r="D21" i="3" s="1"/>
  <c r="D22" i="3" s="1"/>
  <c r="D23" i="3" s="1"/>
  <c r="D24" i="3" s="1"/>
  <c r="D25" i="3" s="1"/>
  <c r="D26" i="3" s="1"/>
  <c r="D27" i="3" s="1"/>
  <c r="G5" i="3" s="1"/>
  <c r="G7" i="3" s="1"/>
  <c r="C15" i="3" l="1"/>
  <c r="C14" i="3" s="1"/>
  <c r="C6" i="3" s="1"/>
  <c r="G2" i="1"/>
  <c r="G3" i="1" s="1"/>
  <c r="L2" i="1" s="1"/>
  <c r="L3" i="1" l="1"/>
  <c r="L4" i="1" s="1"/>
  <c r="L5" i="1" s="1"/>
  <c r="L6" i="1" s="1"/>
  <c r="L7" i="1" s="1"/>
  <c r="L8" i="1" l="1"/>
  <c r="L9" i="1" s="1"/>
  <c r="L10" i="1" s="1"/>
  <c r="D20" i="1" s="1"/>
  <c r="D21" i="1" s="1"/>
  <c r="D22" i="1" s="1"/>
  <c r="D23" i="1" s="1"/>
  <c r="D24" i="1" s="1"/>
  <c r="D25" i="1" s="1"/>
  <c r="D26" i="1" s="1"/>
  <c r="D27" i="1" l="1"/>
  <c r="G5" i="1" s="1"/>
  <c r="G7" i="1" s="1"/>
  <c r="C15" i="1" s="1"/>
  <c r="C14" i="1" s="1"/>
  <c r="C6" i="1" s="1"/>
</calcChain>
</file>

<file path=xl/sharedStrings.xml><?xml version="1.0" encoding="utf-8"?>
<sst xmlns="http://schemas.openxmlformats.org/spreadsheetml/2006/main" count="16" uniqueCount="8">
  <si>
    <t>result:</t>
  </si>
  <si>
    <t>=SUBSTITUTE(SUBSTITUTE(SUBSTITUTE(SUBSTITUTE(SUBSTITUTE(SUBSTITUTE(SUBSTITUTE(L10;"Ä";"*");"ä";"*");"À";"*");"à";"*");"Á";"*");"á";"*");"Â";"*")</t>
  </si>
  <si>
    <r>
      <t xml:space="preserve">¡ ¿
</t>
    </r>
    <r>
      <rPr>
        <sz val="9"/>
        <color rgb="FFFF0000"/>
        <rFont val="Calibri"/>
        <family val="2"/>
        <charset val="238"/>
        <scheme val="minor"/>
      </rPr>
      <t xml:space="preserve"> Ä ä À à Á á Â â Ã ã Å å Ǎ ǎ Ą ą Ă ă Æ æ Ā ā
Ç ç Ć ć Ĉ ĉ Č č
 Ď đ Đ ď ð
 È è É é Ê ê Ë ë Ě ě Ę ę Ė ė Ē ē
Ĝ ĝ Ģ ģ Ğ ğ 
 Ĥ ĥ
Ì ì Í í Î î Ï ï </t>
    </r>
    <r>
      <rPr>
        <sz val="9"/>
        <color rgb="FF00B0F0"/>
        <rFont val="Calibri"/>
        <family val="2"/>
        <charset val="238"/>
        <scheme val="minor"/>
      </rPr>
      <t>ı Ī</t>
    </r>
    <r>
      <rPr>
        <sz val="9"/>
        <color rgb="FFFF0000"/>
        <rFont val="Calibri"/>
        <family val="2"/>
        <charset val="238"/>
        <scheme val="minor"/>
      </rPr>
      <t xml:space="preserve"> ī Į į
 Ĵ ĵ
 Ķ ķ
 Ĺ ĺ Ļ ļ Ł ł Ľ ľ
Ñ ñ Ń ń Ň ň Ņ ņ
Ö ö Ò ò Ó ó Ô ô Õ õ Ő ő Ø ø Œ œ
 Ŕ ŕ Ř ř 
 ẞ ß Ś ś Ŝ ŝ Ş ş </t>
    </r>
    <r>
      <rPr>
        <sz val="9"/>
        <color rgb="FF00B0F0"/>
        <rFont val="Calibri"/>
        <family val="2"/>
        <charset val="238"/>
        <scheme val="minor"/>
      </rPr>
      <t>Š š</t>
    </r>
    <r>
      <rPr>
        <sz val="9"/>
        <color rgb="FFFF0000"/>
        <rFont val="Calibri"/>
        <family val="2"/>
        <charset val="238"/>
        <scheme val="minor"/>
      </rPr>
      <t xml:space="preserve"> Ș ș
 Ť ť Ţ ţ Þ þ Ț ț
Ü ü Ù ù Ú ú Û û Ű ű Ũ ũ Ų ų Ů ů Ū ū
 Ŵ ŵ</t>
    </r>
    <r>
      <rPr>
        <sz val="9"/>
        <color theme="1"/>
        <rFont val="Calibri"/>
        <family val="2"/>
        <charset val="238"/>
        <scheme val="minor"/>
      </rPr>
      <t xml:space="preserve">
Ý ý Ÿ ÿ Ŷ ŷ
 Ź ź Ž ž Ż </t>
    </r>
    <r>
      <rPr>
        <sz val="9"/>
        <color rgb="FF00B0F0"/>
        <rFont val="Calibri"/>
        <family val="2"/>
        <charset val="238"/>
        <scheme val="minor"/>
      </rPr>
      <t>ż</t>
    </r>
  </si>
  <si>
    <t>ı Ī Š š ż</t>
  </si>
  <si>
    <t>list of characters which can be replaced:</t>
  </si>
  <si>
    <t>(),.&amp;-“”–!? + and AND And
 Ä ä À à Á á Â â Ã ã Å å Ǎ ǎ Ą ą Ă ă Æ æ Ā ā
Ç ç Ć ć Ĉ ĉ Č č
 Ď đ Đ ď ð
 È è É é Ê ê Ë ë Ě ě Ę ę Ė ė Ē ē
Ĝ ĝ Ģ ģ Ğ ğ 
 Ĥ ĥ
Ì ì Í í Î î Ï ï ı Ī ī Į į
 Ĵ ĵ
 Ķ ķ
 Ĺ ĺ Ļ ļ Ł ł Ľ ľ
Ñ ñ Ń ń Ň ň Ņ ņ
Ö ö Ò ò Ó ó Ô ô Õ õ Ő ő Ø ø Œ œ
 Ŕ ŕ Ř ř 
 ẞ ß Ś ś Ŝ ŝ Ş ş Š š Ș ș
 Ť ť Ţ ţ Þ þ Ț ț
Ü ü Ù ù Ú ú Û û Ű ű Ũ ũ Ų ų Ů ů Ū ū
 Ŵ ŵ
Ý ý Ÿ ÿ Ŷ ŷ
 Ź ź Ž ž Ż ż</t>
  </si>
  <si>
    <t>*P*</t>
  </si>
  <si>
    <t>=SUBSTITUTE(SUBSTITUTE(SUBSTITUTE(SUBSTITUTE(SUBSTITUTE(SUBSTITUTE(SUBSTITUTE(L10;"%";"%");"%";"%");"%";"%");"%";"%");"%";"%");"%";"%");"%";"%")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</si>
</sst>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9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8"/>
      <color theme="1"/>
      <name val="Calibri"/>
      <family val="2"/>
      <charset val="238"/>
      <scheme val="minor"/>
    </font>
    <font>
      <sz val="9"/>
      <name val="Calibri"/>
      <family val="2"/>
      <charset val="238"/>
      <scheme val="minor"/>
    </font>
    <font>
      <sz val="9"/>
      <color rgb="FF00B0F0"/>
      <name val="Calibri"/>
      <family val="2"/>
      <charset val="238"/>
      <scheme val="minor"/>
    </font>
    <font>
      <sz val="8"/>
      <color rgb="FF000000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Broader View"/>
      <family val="2"/>
    </font>
    <font>
      <sz val="10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8">
    <xf numFmtId="0" fontId="0" fillId="0" borderId="0" xfId="0"/>
    <xf numFmtId="0" fontId="0" fillId="2" borderId="0" xfId="0" applyFill="1"/>
    <xf numFmtId="0" fontId="0" fillId="2" borderId="1" xfId="0" applyFill="1" applyBorder="1" applyAlignment="1"/>
    <xf numFmtId="0" fontId="0" fillId="0" borderId="3" xfId="0" applyBorder="1"/>
    <xf numFmtId="0" fontId="0" fillId="2" borderId="3" xfId="0" applyFill="1" applyBorder="1"/>
    <xf numFmtId="0" fontId="0" fillId="0" borderId="0" xfId="0" applyBorder="1"/>
    <xf numFmtId="0" fontId="2" fillId="0" borderId="0" xfId="0" applyFont="1" applyBorder="1" applyAlignment="1">
      <alignment vertical="center" wrapText="1"/>
    </xf>
    <xf numFmtId="0" fontId="0" fillId="2" borderId="0" xfId="0" quotePrefix="1" applyFill="1" applyAlignment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right" vertical="center"/>
    </xf>
    <xf numFmtId="0" fontId="0" fillId="5" borderId="0" xfId="0" applyFill="1" applyBorder="1" applyAlignment="1"/>
    <xf numFmtId="0" fontId="0" fillId="5" borderId="0" xfId="0" applyFill="1" applyAlignment="1">
      <alignment horizontal="center"/>
    </xf>
    <xf numFmtId="0" fontId="13" fillId="2" borderId="1" xfId="1" quotePrefix="1" applyFont="1" applyFill="1" applyBorder="1" applyAlignment="1" applyProtection="1">
      <alignment horizontal="center" vertical="center"/>
      <protection locked="0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5" borderId="3" xfId="0" applyFill="1" applyBorder="1"/>
    <xf numFmtId="0" fontId="0" fillId="5" borderId="1" xfId="0" applyFill="1" applyBorder="1" applyAlignment="1"/>
    <xf numFmtId="0" fontId="0" fillId="5" borderId="0" xfId="0" applyFill="1" applyBorder="1"/>
    <xf numFmtId="0" fontId="2" fillId="5" borderId="0" xfId="0" applyFont="1" applyFill="1" applyBorder="1" applyAlignment="1">
      <alignment vertical="center" wrapText="1"/>
    </xf>
    <xf numFmtId="0" fontId="4" fillId="5" borderId="0" xfId="0" applyFont="1" applyFill="1" applyAlignment="1">
      <alignment vertical="center"/>
    </xf>
    <xf numFmtId="0" fontId="4" fillId="5" borderId="0" xfId="0" applyFont="1" applyFill="1"/>
    <xf numFmtId="0" fontId="0" fillId="5" borderId="0" xfId="0" applyFill="1" applyAlignment="1">
      <alignment vertical="center"/>
    </xf>
    <xf numFmtId="0" fontId="4" fillId="5" borderId="12" xfId="0" applyFont="1" applyFill="1" applyBorder="1" applyAlignment="1">
      <alignment horizontal="center" vertical="center"/>
    </xf>
    <xf numFmtId="0" fontId="0" fillId="5" borderId="5" xfId="0" applyFill="1" applyBorder="1" applyAlignment="1">
      <alignment vertical="center"/>
    </xf>
    <xf numFmtId="0" fontId="0" fillId="5" borderId="6" xfId="0" applyFill="1" applyBorder="1" applyAlignment="1">
      <alignment vertical="center"/>
    </xf>
    <xf numFmtId="0" fontId="4" fillId="5" borderId="13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9" fillId="5" borderId="14" xfId="0" applyFont="1" applyFill="1" applyBorder="1" applyAlignment="1">
      <alignment vertical="center"/>
    </xf>
    <xf numFmtId="0" fontId="6" fillId="5" borderId="5" xfId="0" applyFont="1" applyFill="1" applyBorder="1" applyAlignment="1">
      <alignment vertical="center"/>
    </xf>
    <xf numFmtId="0" fontId="6" fillId="5" borderId="6" xfId="0" applyFont="1" applyFill="1" applyBorder="1" applyAlignment="1">
      <alignment vertical="center"/>
    </xf>
    <xf numFmtId="0" fontId="4" fillId="5" borderId="14" xfId="0" applyFont="1" applyFill="1" applyBorder="1" applyAlignment="1">
      <alignment vertical="center"/>
    </xf>
    <xf numFmtId="0" fontId="0" fillId="5" borderId="5" xfId="0" applyFill="1" applyBorder="1" applyAlignment="1"/>
    <xf numFmtId="0" fontId="0" fillId="5" borderId="6" xfId="0" applyFill="1" applyBorder="1" applyAlignment="1"/>
    <xf numFmtId="0" fontId="0" fillId="5" borderId="0" xfId="0" quotePrefix="1" applyFill="1" applyAlignment="1">
      <alignment horizontal="center"/>
    </xf>
    <xf numFmtId="0" fontId="0" fillId="5" borderId="0" xfId="0" applyFill="1" applyAlignment="1">
      <alignment horizontal="center"/>
    </xf>
    <xf numFmtId="0" fontId="0" fillId="5" borderId="2" xfId="0" applyFill="1" applyBorder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0" fontId="0" fillId="3" borderId="5" xfId="0" quotePrefix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2" fillId="0" borderId="7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 wrapText="1"/>
    </xf>
    <xf numFmtId="0" fontId="2" fillId="0" borderId="10" xfId="0" applyFont="1" applyBorder="1" applyAlignment="1">
      <alignment horizontal="left" vertical="center" wrapText="1"/>
    </xf>
    <xf numFmtId="0" fontId="2" fillId="0" borderId="11" xfId="0" applyFont="1" applyBorder="1" applyAlignment="1">
      <alignment horizontal="left" vertical="center" wrapText="1"/>
    </xf>
    <xf numFmtId="0" fontId="0" fillId="3" borderId="4" xfId="0" applyFill="1" applyBorder="1" applyAlignment="1">
      <alignment horizontal="center" vertical="center"/>
    </xf>
    <xf numFmtId="0" fontId="6" fillId="3" borderId="4" xfId="0" applyFont="1" applyFill="1" applyBorder="1" applyAlignment="1">
      <alignment horizontal="left" vertical="center"/>
    </xf>
    <xf numFmtId="0" fontId="6" fillId="3" borderId="5" xfId="0" applyFont="1" applyFill="1" applyBorder="1" applyAlignment="1">
      <alignment horizontal="left" vertical="center"/>
    </xf>
    <xf numFmtId="0" fontId="6" fillId="3" borderId="6" xfId="0" applyFont="1" applyFill="1" applyBorder="1" applyAlignment="1">
      <alignment horizontal="left" vertical="center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2" fillId="5" borderId="7" xfId="0" applyFont="1" applyFill="1" applyBorder="1" applyAlignment="1">
      <alignment horizontal="left" vertical="center" wrapText="1"/>
    </xf>
    <xf numFmtId="0" fontId="2" fillId="5" borderId="8" xfId="0" applyFont="1" applyFill="1" applyBorder="1" applyAlignment="1">
      <alignment horizontal="left" vertical="center" wrapText="1"/>
    </xf>
    <xf numFmtId="0" fontId="2" fillId="5" borderId="9" xfId="0" applyFont="1" applyFill="1" applyBorder="1" applyAlignment="1">
      <alignment horizontal="left" vertical="center" wrapText="1"/>
    </xf>
    <xf numFmtId="0" fontId="2" fillId="5" borderId="2" xfId="0" applyFont="1" applyFill="1" applyBorder="1" applyAlignment="1">
      <alignment horizontal="left" vertical="center" wrapText="1"/>
    </xf>
    <xf numFmtId="0" fontId="2" fillId="5" borderId="10" xfId="0" applyFont="1" applyFill="1" applyBorder="1" applyAlignment="1">
      <alignment horizontal="left" vertical="center" wrapText="1"/>
    </xf>
    <xf numFmtId="0" fontId="2" fillId="5" borderId="11" xfId="0" applyFont="1" applyFill="1" applyBorder="1" applyAlignment="1">
      <alignment horizontal="left" vertical="center" wrapText="1"/>
    </xf>
    <xf numFmtId="0" fontId="0" fillId="5" borderId="5" xfId="0" quotePrefix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1" fillId="5" borderId="0" xfId="0" quotePrefix="1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6" fillId="5" borderId="4" xfId="0" applyFont="1" applyFill="1" applyBorder="1" applyAlignment="1">
      <alignment horizontal="left" vertical="center"/>
    </xf>
    <xf numFmtId="0" fontId="6" fillId="5" borderId="5" xfId="0" applyFont="1" applyFill="1" applyBorder="1" applyAlignment="1">
      <alignment horizontal="left" vertical="center"/>
    </xf>
    <xf numFmtId="0" fontId="6" fillId="5" borderId="6" xfId="0" applyFont="1" applyFill="1" applyBorder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7" fillId="0" borderId="0" xfId="0" applyFont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00FF"/>
      <color rgb="FF3474DC"/>
      <color rgb="FF72BAC8"/>
      <color rgb="FFEE8D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gresso!A1"/><Relationship Id="rId2" Type="http://schemas.openxmlformats.org/officeDocument/2006/relationships/hyperlink" Target="#Affinitas!A1"/><Relationship Id="rId1" Type="http://schemas.openxmlformats.org/officeDocument/2006/relationships/image" Target="../media/image1.emf"/><Relationship Id="rId4" Type="http://schemas.openxmlformats.org/officeDocument/2006/relationships/hyperlink" Target="#Oracl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8</xdr:col>
      <xdr:colOff>579782</xdr:colOff>
      <xdr:row>2</xdr:row>
      <xdr:rowOff>104776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0" y="9525"/>
          <a:ext cx="5218043" cy="476251"/>
          <a:chOff x="0" y="9525"/>
          <a:chExt cx="5218043" cy="476251"/>
        </a:xfrm>
      </xdr:grpSpPr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>
            <a:grpSpLocks/>
          </xdr:cNvGrpSpPr>
        </xdr:nvGrpSpPr>
        <xdr:grpSpPr bwMode="auto">
          <a:xfrm>
            <a:off x="0" y="9525"/>
            <a:ext cx="5218043" cy="476251"/>
            <a:chOff x="567" y="459"/>
            <a:chExt cx="10772" cy="599"/>
          </a:xfrm>
        </xdr:grpSpPr>
        <xdr:sp macro="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67" y="459"/>
              <a:ext cx="10772" cy="293"/>
            </a:xfrm>
            <a:prstGeom prst="rect">
              <a:avLst/>
            </a:prstGeom>
            <a:solidFill>
              <a:srgbClr val="99D6F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317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rot="0" vert="horz" wrap="square" lIns="91440" tIns="45720" rIns="91440" bIns="45720" anchor="t" anchorCtr="0" upright="1">
              <a:noAutofit/>
            </a:bodyPr>
            <a:lstStyle/>
            <a:p>
              <a:endParaRPr lang="en-US"/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67" y="852"/>
              <a:ext cx="10772" cy="57"/>
            </a:xfrm>
            <a:prstGeom prst="rect">
              <a:avLst/>
            </a:prstGeom>
            <a:solidFill>
              <a:srgbClr val="3F9C35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317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rot="0" vert="horz" wrap="square" lIns="91440" tIns="45720" rIns="91440" bIns="45720" anchor="t" anchorCtr="0" upright="1">
              <a:noAutofit/>
            </a:bodyPr>
            <a:lstStyle/>
            <a:p>
              <a:endParaRPr lang="en-US"/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67" y="956"/>
              <a:ext cx="10772" cy="102"/>
            </a:xfrm>
            <a:prstGeom prst="rect">
              <a:avLst/>
            </a:prstGeom>
            <a:solidFill>
              <a:srgbClr val="00359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317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rot="0" vert="horz" wrap="square" lIns="91440" tIns="45720" rIns="91440" bIns="45720" anchor="t" anchorCtr="0" upright="1">
              <a:noAutofit/>
            </a:bodyPr>
            <a:lstStyle/>
            <a:p>
              <a:endParaRPr lang="en-US"/>
            </a:p>
          </xdr:txBody>
        </xdr:sp>
      </xdr:grpSp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/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057337" y="57492"/>
            <a:ext cx="1228870" cy="159385"/>
          </a:xfrm>
          <a:prstGeom prst="rect">
            <a:avLst/>
          </a:prstGeom>
          <a:noFill/>
        </xdr:spPr>
      </xdr:pic>
    </xdr:grpSp>
    <xdr:clientData/>
  </xdr:twoCellAnchor>
  <xdr:twoCellAnchor>
    <xdr:from>
      <xdr:col>2</xdr:col>
      <xdr:colOff>1</xdr:colOff>
      <xdr:row>2</xdr:row>
      <xdr:rowOff>110222</xdr:rowOff>
    </xdr:from>
    <xdr:to>
      <xdr:col>7</xdr:col>
      <xdr:colOff>24847</xdr:colOff>
      <xdr:row>5</xdr:row>
      <xdr:rowOff>183491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59566" y="491222"/>
          <a:ext cx="2923759" cy="644769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noFill/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600">
              <a:latin typeface="Broader View" panose="020D0605040000000003" pitchFamily="34" charset="-18"/>
            </a:rPr>
            <a:t>CHOOSE</a:t>
          </a:r>
          <a:r>
            <a:rPr lang="pl-PL" sz="1600" baseline="0">
              <a:latin typeface="Broader View" panose="020D0605040000000003" pitchFamily="34" charset="-18"/>
            </a:rPr>
            <a:t> SYSTEM</a:t>
          </a:r>
          <a:endParaRPr lang="pl-PL" sz="1600">
            <a:latin typeface="Broader View" panose="020D0605040000000003" pitchFamily="34" charset="-18"/>
          </a:endParaRP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1143000"/>
          <a:ext cx="1739348" cy="5715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>
              <a:solidFill>
                <a:sysClr val="windowText" lastClr="000000"/>
              </a:solidFill>
              <a:latin typeface="Broader View" panose="020D0605040000000003" pitchFamily="34" charset="-18"/>
            </a:rPr>
            <a:t>AFFINITAS</a:t>
          </a:r>
          <a:endParaRPr lang="pl-PL" sz="1100">
            <a:solidFill>
              <a:sysClr val="windowText" lastClr="000000"/>
            </a:solidFill>
            <a:latin typeface="Broader View" panose="020D0605040000000003" pitchFamily="34" charset="-18"/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3" name="Rectangle: Rounded Corners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739348" y="1143000"/>
          <a:ext cx="1739348" cy="5715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800">
              <a:solidFill>
                <a:sysClr val="windowText" lastClr="000000"/>
              </a:solidFill>
              <a:latin typeface="Broader View" panose="020D0605040000000003" pitchFamily="34" charset="-18"/>
            </a:rPr>
            <a:t>AGRESSO</a:t>
          </a:r>
          <a:endParaRPr lang="pl-PL" sz="1100">
            <a:solidFill>
              <a:sysClr val="windowText" lastClr="000000"/>
            </a:solidFill>
            <a:latin typeface="Broader View" panose="020D0605040000000003" pitchFamily="34" charset="-18"/>
          </a:endParaRPr>
        </a:p>
      </xdr:txBody>
    </xdr:sp>
    <xdr:clientData/>
  </xdr:twoCellAnchor>
  <xdr:twoCellAnchor>
    <xdr:from>
      <xdr:col>5</xdr:col>
      <xdr:colOff>579782</xdr:colOff>
      <xdr:row>6</xdr:row>
      <xdr:rowOff>0</xdr:rowOff>
    </xdr:from>
    <xdr:to>
      <xdr:col>8</xdr:col>
      <xdr:colOff>579782</xdr:colOff>
      <xdr:row>9</xdr:row>
      <xdr:rowOff>0</xdr:rowOff>
    </xdr:to>
    <xdr:sp macro="" textlink="">
      <xdr:nvSpPr>
        <xdr:cNvPr id="15" name="Rectangle: Rounded Corners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478695" y="1143000"/>
          <a:ext cx="1739348" cy="5715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800">
              <a:solidFill>
                <a:sysClr val="windowText" lastClr="000000"/>
              </a:solidFill>
              <a:latin typeface="Broader View" panose="020D0605040000000003" pitchFamily="34" charset="-18"/>
            </a:rPr>
            <a:t>ORACLE</a:t>
          </a:r>
          <a:endParaRPr lang="pl-PL" sz="1100">
            <a:solidFill>
              <a:sysClr val="windowText" lastClr="000000"/>
            </a:solidFill>
            <a:latin typeface="Broader View" panose="020D0605040000000003" pitchFamily="34" charset="-18"/>
          </a:endParaRPr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8</xdr:col>
      <xdr:colOff>579782</xdr:colOff>
      <xdr:row>14</xdr:row>
      <xdr:rowOff>190499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0" y="2095500"/>
          <a:ext cx="5218043" cy="761999"/>
        </a:xfrm>
        <a:prstGeom prst="rect">
          <a:avLst/>
        </a:prstGeom>
        <a:gradFill flip="none" rotWithShape="1">
          <a:gsLst>
            <a:gs pos="0">
              <a:schemeClr val="accent4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4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4">
                <a:lumMod val="20000"/>
                <a:lumOff val="80000"/>
                <a:shade val="100000"/>
                <a:satMod val="115000"/>
              </a:schemeClr>
            </a:gs>
          </a:gsLst>
          <a:lin ang="16200000" scaled="1"/>
          <a:tileRect/>
        </a:gradFill>
        <a:ln w="9525" cmpd="sng">
          <a:noFill/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2000">
              <a:latin typeface="Broader View" panose="020D0605040000000003" pitchFamily="34" charset="-18"/>
            </a:rPr>
            <a:t>QUERY WILDCARD CREATOR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0</xdr:row>
      <xdr:rowOff>37482</xdr:rowOff>
    </xdr:from>
    <xdr:to>
      <xdr:col>2</xdr:col>
      <xdr:colOff>455964</xdr:colOff>
      <xdr:row>2</xdr:row>
      <xdr:rowOff>129447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22412" y="37482"/>
          <a:ext cx="1598964" cy="472965"/>
          <a:chOff x="1103586" y="420414"/>
          <a:chExt cx="1589690" cy="472965"/>
        </a:xfrm>
        <a:solidFill>
          <a:schemeClr val="accent1">
            <a:lumMod val="20000"/>
            <a:lumOff val="80000"/>
          </a:schemeClr>
        </a:solidFill>
      </xdr:grpSpPr>
      <xdr:sp macro="[0]!back_tab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1103586" y="420414"/>
            <a:ext cx="1589690" cy="472965"/>
          </a:xfrm>
          <a:prstGeom prst="roundRect">
            <a:avLst/>
          </a:prstGeom>
          <a:grpFill/>
          <a:ln>
            <a:solidFill>
              <a:schemeClr val="bg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l-PL" sz="1000">
                <a:solidFill>
                  <a:sysClr val="windowText" lastClr="000000"/>
                </a:solidFill>
                <a:latin typeface="Broader View" panose="020D0605040000000003" pitchFamily="34" charset="-18"/>
              </a:rPr>
              <a:t>Back to Menu</a:t>
            </a:r>
          </a:p>
        </xdr:txBody>
      </xdr:sp>
      <xdr:pic macro="[0]!back_tab"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grayscl/>
          </a:blip>
          <a:stretch>
            <a:fillRect/>
          </a:stretch>
        </xdr:blipFill>
        <xdr:spPr>
          <a:xfrm>
            <a:off x="1115178" y="518950"/>
            <a:ext cx="379843" cy="285338"/>
          </a:xfrm>
          <a:prstGeom prst="rect">
            <a:avLst/>
          </a:prstGeom>
          <a:grpFill/>
          <a:ln>
            <a:noFill/>
          </a:ln>
        </xdr:spPr>
      </xdr:pic>
    </xdr:grpSp>
    <xdr:clientData/>
  </xdr:twoCellAnchor>
  <xdr:twoCellAnchor>
    <xdr:from>
      <xdr:col>2</xdr:col>
      <xdr:colOff>1722384</xdr:colOff>
      <xdr:row>0</xdr:row>
      <xdr:rowOff>34159</xdr:rowOff>
    </xdr:from>
    <xdr:to>
      <xdr:col>2</xdr:col>
      <xdr:colOff>3312074</xdr:colOff>
      <xdr:row>2</xdr:row>
      <xdr:rowOff>126124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2887796" y="34159"/>
          <a:ext cx="1589690" cy="472965"/>
          <a:chOff x="2011419" y="47297"/>
          <a:chExt cx="1589690" cy="472965"/>
        </a:xfrm>
      </xdr:grpSpPr>
      <xdr:sp macro="[0]!GetData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2011419" y="47297"/>
            <a:ext cx="1589690" cy="47296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l-PL" sz="1000">
                <a:solidFill>
                  <a:sysClr val="windowText" lastClr="000000"/>
                </a:solidFill>
                <a:latin typeface="Broader View" panose="020D0605040000000003" pitchFamily="34" charset="-18"/>
              </a:rPr>
              <a:t>Paste Name</a:t>
            </a:r>
          </a:p>
        </xdr:txBody>
      </xdr:sp>
      <xdr:pic macro="[0]!GetData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grayscl/>
          </a:blip>
          <a:stretch>
            <a:fillRect/>
          </a:stretch>
        </xdr:blipFill>
        <xdr:spPr>
          <a:xfrm>
            <a:off x="2090591" y="117112"/>
            <a:ext cx="385909" cy="28425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4639005</xdr:colOff>
      <xdr:row>0</xdr:row>
      <xdr:rowOff>26933</xdr:rowOff>
    </xdr:from>
    <xdr:to>
      <xdr:col>4</xdr:col>
      <xdr:colOff>566247</xdr:colOff>
      <xdr:row>2</xdr:row>
      <xdr:rowOff>118898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5804417" y="26933"/>
          <a:ext cx="1563801" cy="472965"/>
          <a:chOff x="4607474" y="65690"/>
          <a:chExt cx="1589690" cy="472965"/>
        </a:xfrm>
      </xdr:grpSpPr>
      <xdr:sp macro="[0]!_xludf.clear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4607474" y="65690"/>
            <a:ext cx="1589690" cy="47296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l-PL" sz="1000">
                <a:solidFill>
                  <a:sysClr val="windowText" lastClr="000000"/>
                </a:solidFill>
                <a:latin typeface="Broader View" panose="020D0605040000000003" pitchFamily="34" charset="-18"/>
              </a:rPr>
              <a:t>Clear Form</a:t>
            </a:r>
          </a:p>
        </xdr:txBody>
      </xdr:sp>
      <xdr:pic macro="[0]!_xludf.clear"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grayscl/>
          </a:blip>
          <a:stretch>
            <a:fillRect/>
          </a:stretch>
        </xdr:blipFill>
        <xdr:spPr>
          <a:xfrm>
            <a:off x="4672587" y="107156"/>
            <a:ext cx="385516" cy="382622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7328</xdr:colOff>
      <xdr:row>7</xdr:row>
      <xdr:rowOff>49688</xdr:rowOff>
    </xdr:from>
    <xdr:to>
      <xdr:col>5</xdr:col>
      <xdr:colOff>0</xdr:colOff>
      <xdr:row>9</xdr:row>
      <xdr:rowOff>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>
          <a:grpSpLocks/>
        </xdr:cNvGrpSpPr>
      </xdr:nvGrpSpPr>
      <xdr:grpSpPr bwMode="auto">
        <a:xfrm>
          <a:off x="7328" y="1652129"/>
          <a:ext cx="7377348" cy="331312"/>
          <a:chOff x="567" y="459"/>
          <a:chExt cx="10772" cy="599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567" y="459"/>
            <a:ext cx="10772" cy="293"/>
          </a:xfrm>
          <a:prstGeom prst="rect">
            <a:avLst/>
          </a:prstGeom>
          <a:solidFill>
            <a:srgbClr val="99D6F0"/>
          </a:solidFill>
          <a:ln>
            <a:noFill/>
          </a:ln>
          <a:extLst>
            <a:ext uri="{91240B29-F687-4F45-9708-019B960494DF}">
              <a14:hiddenLine xmlns:a14="http://schemas.microsoft.com/office/drawing/2010/main" w="317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91440" tIns="45720" rIns="91440" bIns="45720" anchor="t" anchorCtr="0" upright="1">
            <a:noAutofit/>
          </a:bodyPr>
          <a:lstStyle/>
          <a:p>
            <a:endParaRPr lang="en-US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567" y="852"/>
            <a:ext cx="10772" cy="57"/>
          </a:xfrm>
          <a:prstGeom prst="rect">
            <a:avLst/>
          </a:prstGeom>
          <a:solidFill>
            <a:srgbClr val="3F9C35"/>
          </a:solidFill>
          <a:ln>
            <a:noFill/>
          </a:ln>
          <a:extLst>
            <a:ext uri="{91240B29-F687-4F45-9708-019B960494DF}">
              <a14:hiddenLine xmlns:a14="http://schemas.microsoft.com/office/drawing/2010/main" w="317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91440" tIns="45720" rIns="91440" bIns="45720" anchor="t" anchorCtr="0" upright="1">
            <a:noAutofit/>
          </a:bodyPr>
          <a:lstStyle/>
          <a:p>
            <a:endParaRPr lang="en-US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567" y="956"/>
            <a:ext cx="10772" cy="102"/>
          </a:xfrm>
          <a:prstGeom prst="rect">
            <a:avLst/>
          </a:prstGeom>
          <a:solidFill>
            <a:srgbClr val="003591"/>
          </a:solidFill>
          <a:ln>
            <a:noFill/>
          </a:ln>
          <a:extLst>
            <a:ext uri="{91240B29-F687-4F45-9708-019B960494DF}">
              <a14:hiddenLine xmlns:a14="http://schemas.microsoft.com/office/drawing/2010/main" w="317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91440" tIns="45720" rIns="91440" bIns="45720" anchor="t" anchorCtr="0" upright="1"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2</xdr:col>
      <xdr:colOff>2210069</xdr:colOff>
      <xdr:row>7</xdr:row>
      <xdr:rowOff>83057</xdr:rowOff>
    </xdr:from>
    <xdr:to>
      <xdr:col>2</xdr:col>
      <xdr:colOff>3074554</xdr:colOff>
      <xdr:row>8</xdr:row>
      <xdr:rowOff>3436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481" y="1685498"/>
          <a:ext cx="864485" cy="110879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32846</xdr:colOff>
      <xdr:row>0</xdr:row>
      <xdr:rowOff>26276</xdr:rowOff>
    </xdr:from>
    <xdr:to>
      <xdr:col>2</xdr:col>
      <xdr:colOff>466398</xdr:colOff>
      <xdr:row>2</xdr:row>
      <xdr:rowOff>118241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32846" y="26276"/>
          <a:ext cx="1598964" cy="472965"/>
          <a:chOff x="1103586" y="420414"/>
          <a:chExt cx="1589690" cy="472965"/>
        </a:xfrm>
        <a:solidFill>
          <a:schemeClr val="accent1">
            <a:lumMod val="20000"/>
            <a:lumOff val="80000"/>
          </a:schemeClr>
        </a:solidFill>
      </xdr:grpSpPr>
      <xdr:sp macro="[0]!back_tab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103586" y="420414"/>
            <a:ext cx="1589690" cy="472965"/>
          </a:xfrm>
          <a:prstGeom prst="roundRect">
            <a:avLst/>
          </a:prstGeom>
          <a:grpFill/>
          <a:ln>
            <a:solidFill>
              <a:schemeClr val="bg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l-PL" sz="1000">
                <a:solidFill>
                  <a:sysClr val="windowText" lastClr="000000"/>
                </a:solidFill>
                <a:latin typeface="Broader View" panose="020D0605040000000003" pitchFamily="34" charset="-18"/>
              </a:rPr>
              <a:t>Back to Menu</a:t>
            </a:r>
          </a:p>
        </xdr:txBody>
      </xdr:sp>
      <xdr:pic macro="[0]!back_tab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grayscl/>
          </a:blip>
          <a:stretch>
            <a:fillRect/>
          </a:stretch>
        </xdr:blipFill>
        <xdr:spPr>
          <a:xfrm>
            <a:off x="1115178" y="518950"/>
            <a:ext cx="379843" cy="285338"/>
          </a:xfrm>
          <a:prstGeom prst="rect">
            <a:avLst/>
          </a:prstGeom>
          <a:grpFill/>
          <a:ln>
            <a:noFill/>
          </a:ln>
        </xdr:spPr>
      </xdr:pic>
    </xdr:grpSp>
    <xdr:clientData/>
  </xdr:twoCellAnchor>
  <xdr:twoCellAnchor>
    <xdr:from>
      <xdr:col>2</xdr:col>
      <xdr:colOff>1722384</xdr:colOff>
      <xdr:row>0</xdr:row>
      <xdr:rowOff>34159</xdr:rowOff>
    </xdr:from>
    <xdr:to>
      <xdr:col>2</xdr:col>
      <xdr:colOff>3312074</xdr:colOff>
      <xdr:row>2</xdr:row>
      <xdr:rowOff>126124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2887796" y="34159"/>
          <a:ext cx="1589690" cy="472965"/>
          <a:chOff x="2011419" y="47297"/>
          <a:chExt cx="1589690" cy="472965"/>
        </a:xfrm>
      </xdr:grpSpPr>
      <xdr:sp macro="[0]!GetData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2011419" y="47297"/>
            <a:ext cx="1589690" cy="47296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l-PL" sz="1000">
                <a:solidFill>
                  <a:sysClr val="windowText" lastClr="000000"/>
                </a:solidFill>
                <a:latin typeface="Broader View" panose="020D0605040000000003" pitchFamily="34" charset="-18"/>
              </a:rPr>
              <a:t>Paste Name</a:t>
            </a:r>
          </a:p>
        </xdr:txBody>
      </xdr:sp>
      <xdr:pic macro="[0]!GetData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grayscl/>
          </a:blip>
          <a:stretch>
            <a:fillRect/>
          </a:stretch>
        </xdr:blipFill>
        <xdr:spPr>
          <a:xfrm>
            <a:off x="2090591" y="117112"/>
            <a:ext cx="385909" cy="28425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4639005</xdr:colOff>
      <xdr:row>0</xdr:row>
      <xdr:rowOff>26933</xdr:rowOff>
    </xdr:from>
    <xdr:to>
      <xdr:col>4</xdr:col>
      <xdr:colOff>566247</xdr:colOff>
      <xdr:row>2</xdr:row>
      <xdr:rowOff>118898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804417" y="26933"/>
          <a:ext cx="1563801" cy="472965"/>
          <a:chOff x="4607474" y="65690"/>
          <a:chExt cx="1589690" cy="472965"/>
        </a:xfrm>
      </xdr:grpSpPr>
      <xdr:sp macro="[0]!_xludf.clear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4607474" y="65690"/>
            <a:ext cx="1589690" cy="47296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l-PL" sz="1000">
                <a:solidFill>
                  <a:sysClr val="windowText" lastClr="000000"/>
                </a:solidFill>
                <a:latin typeface="Broader View" panose="020D0605040000000003" pitchFamily="34" charset="-18"/>
              </a:rPr>
              <a:t>Clear Form</a:t>
            </a:r>
          </a:p>
        </xdr:txBody>
      </xdr:sp>
      <xdr:pic macro="[0]!_xludf.clear">
        <xdr:nvPicPr>
          <xdr:cNvPr id="10" name="Pictur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grayscl/>
          </a:blip>
          <a:stretch>
            <a:fillRect/>
          </a:stretch>
        </xdr:blipFill>
        <xdr:spPr>
          <a:xfrm>
            <a:off x="4672587" y="107156"/>
            <a:ext cx="385516" cy="382622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7328</xdr:colOff>
      <xdr:row>7</xdr:row>
      <xdr:rowOff>49688</xdr:rowOff>
    </xdr:from>
    <xdr:to>
      <xdr:col>5</xdr:col>
      <xdr:colOff>0</xdr:colOff>
      <xdr:row>9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>
          <a:grpSpLocks/>
        </xdr:cNvGrpSpPr>
      </xdr:nvGrpSpPr>
      <xdr:grpSpPr bwMode="auto">
        <a:xfrm>
          <a:off x="7328" y="1652129"/>
          <a:ext cx="7377348" cy="331312"/>
          <a:chOff x="567" y="459"/>
          <a:chExt cx="10772" cy="599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Arrowheads="1"/>
          </xdr:cNvSpPr>
        </xdr:nvSpPr>
        <xdr:spPr bwMode="auto">
          <a:xfrm>
            <a:off x="567" y="459"/>
            <a:ext cx="10772" cy="293"/>
          </a:xfrm>
          <a:prstGeom prst="rect">
            <a:avLst/>
          </a:prstGeom>
          <a:solidFill>
            <a:srgbClr val="99D6F0"/>
          </a:solidFill>
          <a:ln>
            <a:noFill/>
          </a:ln>
          <a:extLst>
            <a:ext uri="{91240B29-F687-4F45-9708-019B960494DF}">
              <a14:hiddenLine xmlns:a14="http://schemas.microsoft.com/office/drawing/2010/main" w="317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91440" tIns="45720" rIns="91440" bIns="45720" anchor="t" anchorCtr="0" upright="1">
            <a:noAutofit/>
          </a:bodyPr>
          <a:lstStyle/>
          <a:p>
            <a:endParaRPr lang="en-US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Arrowheads="1"/>
          </xdr:cNvSpPr>
        </xdr:nvSpPr>
        <xdr:spPr bwMode="auto">
          <a:xfrm>
            <a:off x="567" y="852"/>
            <a:ext cx="10772" cy="57"/>
          </a:xfrm>
          <a:prstGeom prst="rect">
            <a:avLst/>
          </a:prstGeom>
          <a:solidFill>
            <a:srgbClr val="3F9C35"/>
          </a:solidFill>
          <a:ln>
            <a:noFill/>
          </a:ln>
          <a:extLst>
            <a:ext uri="{91240B29-F687-4F45-9708-019B960494DF}">
              <a14:hiddenLine xmlns:a14="http://schemas.microsoft.com/office/drawing/2010/main" w="317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91440" tIns="45720" rIns="91440" bIns="45720" anchor="t" anchorCtr="0" upright="1">
            <a:noAutofit/>
          </a:bodyPr>
          <a:lstStyle/>
          <a:p>
            <a:endParaRPr lang="en-US"/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>
            <a:spLocks noChangeArrowheads="1"/>
          </xdr:cNvSpPr>
        </xdr:nvSpPr>
        <xdr:spPr bwMode="auto">
          <a:xfrm>
            <a:off x="567" y="956"/>
            <a:ext cx="10772" cy="102"/>
          </a:xfrm>
          <a:prstGeom prst="rect">
            <a:avLst/>
          </a:prstGeom>
          <a:solidFill>
            <a:srgbClr val="003591"/>
          </a:solidFill>
          <a:ln>
            <a:noFill/>
          </a:ln>
          <a:extLst>
            <a:ext uri="{91240B29-F687-4F45-9708-019B960494DF}">
              <a14:hiddenLine xmlns:a14="http://schemas.microsoft.com/office/drawing/2010/main" w="317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91440" tIns="45720" rIns="91440" bIns="45720" anchor="t" anchorCtr="0" upright="1"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2</xdr:col>
      <xdr:colOff>2210069</xdr:colOff>
      <xdr:row>7</xdr:row>
      <xdr:rowOff>83057</xdr:rowOff>
    </xdr:from>
    <xdr:to>
      <xdr:col>2</xdr:col>
      <xdr:colOff>3074554</xdr:colOff>
      <xdr:row>8</xdr:row>
      <xdr:rowOff>3436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2119" y="1683257"/>
          <a:ext cx="864485" cy="110879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7328</xdr:colOff>
      <xdr:row>7</xdr:row>
      <xdr:rowOff>49688</xdr:rowOff>
    </xdr:from>
    <xdr:to>
      <xdr:col>5</xdr:col>
      <xdr:colOff>0</xdr:colOff>
      <xdr:row>9</xdr:row>
      <xdr:rowOff>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pSpPr>
          <a:grpSpLocks/>
        </xdr:cNvGrpSpPr>
      </xdr:nvGrpSpPr>
      <xdr:grpSpPr bwMode="auto">
        <a:xfrm>
          <a:off x="7328" y="1652129"/>
          <a:ext cx="7377348" cy="331312"/>
          <a:chOff x="567" y="459"/>
          <a:chExt cx="10772" cy="599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567" y="459"/>
            <a:ext cx="10772" cy="293"/>
          </a:xfrm>
          <a:prstGeom prst="rect">
            <a:avLst/>
          </a:prstGeom>
          <a:solidFill>
            <a:srgbClr val="99D6F0"/>
          </a:solidFill>
          <a:ln>
            <a:noFill/>
          </a:ln>
          <a:extLst>
            <a:ext uri="{91240B29-F687-4F45-9708-019B960494DF}">
              <a14:hiddenLine xmlns:a14="http://schemas.microsoft.com/office/drawing/2010/main" w="317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91440" tIns="45720" rIns="91440" bIns="45720" anchor="t" anchorCtr="0" upright="1">
            <a:noAutofit/>
          </a:bodyPr>
          <a:lstStyle/>
          <a:p>
            <a:endParaRPr lang="en-US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67" y="852"/>
            <a:ext cx="10772" cy="57"/>
          </a:xfrm>
          <a:prstGeom prst="rect">
            <a:avLst/>
          </a:prstGeom>
          <a:solidFill>
            <a:srgbClr val="3F9C35"/>
          </a:solidFill>
          <a:ln>
            <a:noFill/>
          </a:ln>
          <a:extLst>
            <a:ext uri="{91240B29-F687-4F45-9708-019B960494DF}">
              <a14:hiddenLine xmlns:a14="http://schemas.microsoft.com/office/drawing/2010/main" w="317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91440" tIns="45720" rIns="91440" bIns="45720" anchor="t" anchorCtr="0" upright="1">
            <a:noAutofit/>
          </a:bodyPr>
          <a:lstStyle/>
          <a:p>
            <a:endParaRPr lang="en-US"/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67" y="956"/>
            <a:ext cx="10772" cy="102"/>
          </a:xfrm>
          <a:prstGeom prst="rect">
            <a:avLst/>
          </a:prstGeom>
          <a:solidFill>
            <a:srgbClr val="003591"/>
          </a:solidFill>
          <a:ln>
            <a:noFill/>
          </a:ln>
          <a:extLst>
            <a:ext uri="{91240B29-F687-4F45-9708-019B960494DF}">
              <a14:hiddenLine xmlns:a14="http://schemas.microsoft.com/office/drawing/2010/main" w="317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91440" tIns="45720" rIns="91440" bIns="45720" anchor="t" anchorCtr="0" upright="1"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2</xdr:col>
      <xdr:colOff>2210069</xdr:colOff>
      <xdr:row>7</xdr:row>
      <xdr:rowOff>83057</xdr:rowOff>
    </xdr:from>
    <xdr:to>
      <xdr:col>2</xdr:col>
      <xdr:colOff>3074554</xdr:colOff>
      <xdr:row>8</xdr:row>
      <xdr:rowOff>3436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2119" y="1683257"/>
          <a:ext cx="864485" cy="110879"/>
        </a:xfrm>
        <a:prstGeom prst="rect">
          <a:avLst/>
        </a:prstGeom>
        <a:noFill/>
      </xdr:spPr>
    </xdr:pic>
    <xdr:clientData/>
  </xdr:twoCellAnchor>
  <xdr:twoCellAnchor>
    <xdr:from>
      <xdr:col>0</xdr:col>
      <xdr:colOff>22412</xdr:colOff>
      <xdr:row>0</xdr:row>
      <xdr:rowOff>33618</xdr:rowOff>
    </xdr:from>
    <xdr:to>
      <xdr:col>2</xdr:col>
      <xdr:colOff>455964</xdr:colOff>
      <xdr:row>2</xdr:row>
      <xdr:rowOff>125583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GrpSpPr/>
      </xdr:nvGrpSpPr>
      <xdr:grpSpPr>
        <a:xfrm>
          <a:off x="22412" y="33618"/>
          <a:ext cx="1598964" cy="472965"/>
          <a:chOff x="1103586" y="420414"/>
          <a:chExt cx="1589690" cy="472965"/>
        </a:xfrm>
        <a:solidFill>
          <a:schemeClr val="accent1">
            <a:lumMod val="20000"/>
            <a:lumOff val="80000"/>
          </a:schemeClr>
        </a:solidFill>
      </xdr:grpSpPr>
      <xdr:sp macro="[0]!back_tab" textlink="">
        <xdr:nvSpPr>
          <xdr:cNvPr id="54" name="Rectangle: Rounded Corners 53">
            <a:extLst>
              <a:ext uri="{FF2B5EF4-FFF2-40B4-BE49-F238E27FC236}">
                <a16:creationId xmlns:a16="http://schemas.microsoft.com/office/drawing/2014/main" id="{00000000-0008-0000-0300-000036000000}"/>
              </a:ext>
            </a:extLst>
          </xdr:cNvPr>
          <xdr:cNvSpPr/>
        </xdr:nvSpPr>
        <xdr:spPr>
          <a:xfrm>
            <a:off x="1103586" y="420414"/>
            <a:ext cx="1589690" cy="472965"/>
          </a:xfrm>
          <a:prstGeom prst="roundRect">
            <a:avLst/>
          </a:prstGeom>
          <a:grpFill/>
          <a:ln>
            <a:solidFill>
              <a:schemeClr val="bg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l-PL" sz="1000">
                <a:solidFill>
                  <a:sysClr val="windowText" lastClr="000000"/>
                </a:solidFill>
                <a:latin typeface="Broader View" panose="020D0605040000000003" pitchFamily="34" charset="-18"/>
              </a:rPr>
              <a:t>Back to Menu</a:t>
            </a:r>
          </a:p>
        </xdr:txBody>
      </xdr:sp>
      <xdr:pic macro="[0]!back_tab">
        <xdr:nvPicPr>
          <xdr:cNvPr id="55" name="Picture 54">
            <a:extLst>
              <a:ext uri="{FF2B5EF4-FFF2-40B4-BE49-F238E27FC236}">
                <a16:creationId xmlns:a16="http://schemas.microsoft.com/office/drawing/2014/main" id="{00000000-0008-0000-03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grayscl/>
          </a:blip>
          <a:stretch>
            <a:fillRect/>
          </a:stretch>
        </xdr:blipFill>
        <xdr:spPr>
          <a:xfrm>
            <a:off x="1115178" y="518950"/>
            <a:ext cx="379843" cy="285338"/>
          </a:xfrm>
          <a:prstGeom prst="rect">
            <a:avLst/>
          </a:prstGeom>
          <a:grpFill/>
          <a:ln>
            <a:noFill/>
          </a:ln>
        </xdr:spPr>
      </xdr:pic>
    </xdr:grpSp>
    <xdr:clientData/>
  </xdr:twoCellAnchor>
  <xdr:twoCellAnchor>
    <xdr:from>
      <xdr:col>2</xdr:col>
      <xdr:colOff>1711950</xdr:colOff>
      <xdr:row>0</xdr:row>
      <xdr:rowOff>41501</xdr:rowOff>
    </xdr:from>
    <xdr:to>
      <xdr:col>2</xdr:col>
      <xdr:colOff>3301640</xdr:colOff>
      <xdr:row>2</xdr:row>
      <xdr:rowOff>133466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GrpSpPr/>
      </xdr:nvGrpSpPr>
      <xdr:grpSpPr>
        <a:xfrm>
          <a:off x="2877362" y="41501"/>
          <a:ext cx="1589690" cy="472965"/>
          <a:chOff x="2011419" y="47297"/>
          <a:chExt cx="1589690" cy="472965"/>
        </a:xfrm>
      </xdr:grpSpPr>
      <xdr:sp macro="[0]!GetData" textlink="">
        <xdr:nvSpPr>
          <xdr:cNvPr id="57" name="Rectangle: Rounded Corners 56">
            <a:extLst>
              <a:ext uri="{FF2B5EF4-FFF2-40B4-BE49-F238E27FC236}">
                <a16:creationId xmlns:a16="http://schemas.microsoft.com/office/drawing/2014/main" id="{00000000-0008-0000-0300-000039000000}"/>
              </a:ext>
            </a:extLst>
          </xdr:cNvPr>
          <xdr:cNvSpPr/>
        </xdr:nvSpPr>
        <xdr:spPr>
          <a:xfrm>
            <a:off x="2011419" y="47297"/>
            <a:ext cx="1589690" cy="47296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l-PL" sz="1000">
                <a:solidFill>
                  <a:sysClr val="windowText" lastClr="000000"/>
                </a:solidFill>
                <a:latin typeface="Broader View" panose="020D0605040000000003" pitchFamily="34" charset="-18"/>
              </a:rPr>
              <a:t>Paste Name</a:t>
            </a:r>
          </a:p>
        </xdr:txBody>
      </xdr:sp>
      <xdr:pic macro="[0]!GetData">
        <xdr:nvPicPr>
          <xdr:cNvPr id="58" name="Picture 57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grayscl/>
          </a:blip>
          <a:stretch>
            <a:fillRect/>
          </a:stretch>
        </xdr:blipFill>
        <xdr:spPr>
          <a:xfrm>
            <a:off x="2090591" y="117112"/>
            <a:ext cx="385909" cy="28425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4628571</xdr:colOff>
      <xdr:row>0</xdr:row>
      <xdr:rowOff>34275</xdr:rowOff>
    </xdr:from>
    <xdr:to>
      <xdr:col>4</xdr:col>
      <xdr:colOff>555813</xdr:colOff>
      <xdr:row>2</xdr:row>
      <xdr:rowOff>126240</xdr:rowOff>
    </xdr:to>
    <xdr:grpSp>
      <xdr:nvGrpSpPr>
        <xdr:cNvPr id="59" name="Group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GrpSpPr/>
      </xdr:nvGrpSpPr>
      <xdr:grpSpPr>
        <a:xfrm>
          <a:off x="5793983" y="34275"/>
          <a:ext cx="1563801" cy="472965"/>
          <a:chOff x="4607474" y="65690"/>
          <a:chExt cx="1589690" cy="472965"/>
        </a:xfrm>
      </xdr:grpSpPr>
      <xdr:sp macro="[0]!_xludf.clear" textlink="">
        <xdr:nvSpPr>
          <xdr:cNvPr id="60" name="Rectangle: Rounded Corners 59">
            <a:extLst>
              <a:ext uri="{FF2B5EF4-FFF2-40B4-BE49-F238E27FC236}">
                <a16:creationId xmlns:a16="http://schemas.microsoft.com/office/drawing/2014/main" id="{00000000-0008-0000-0300-00003C000000}"/>
              </a:ext>
            </a:extLst>
          </xdr:cNvPr>
          <xdr:cNvSpPr/>
        </xdr:nvSpPr>
        <xdr:spPr>
          <a:xfrm>
            <a:off x="4607474" y="65690"/>
            <a:ext cx="1589690" cy="47296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l-PL" sz="1000">
                <a:solidFill>
                  <a:sysClr val="windowText" lastClr="000000"/>
                </a:solidFill>
                <a:latin typeface="Broader View" panose="020D0605040000000003" pitchFamily="34" charset="-18"/>
              </a:rPr>
              <a:t>Clear Form</a:t>
            </a:r>
          </a:p>
        </xdr:txBody>
      </xdr:sp>
      <xdr:pic macro="[0]!_xludf.clear">
        <xdr:nvPicPr>
          <xdr:cNvPr id="61" name="Picture 60">
            <a:extLst>
              <a:ext uri="{FF2B5EF4-FFF2-40B4-BE49-F238E27FC236}">
                <a16:creationId xmlns:a16="http://schemas.microsoft.com/office/drawing/2014/main" id="{00000000-0008-0000-03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grayscl/>
          </a:blip>
          <a:stretch>
            <a:fillRect/>
          </a:stretch>
        </xdr:blipFill>
        <xdr:spPr>
          <a:xfrm>
            <a:off x="4672587" y="107156"/>
            <a:ext cx="385516" cy="382622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2</xdr:row>
      <xdr:rowOff>95251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>
          <a:grpSpLocks/>
        </xdr:cNvGrpSpPr>
      </xdr:nvGrpSpPr>
      <xdr:grpSpPr bwMode="auto">
        <a:xfrm>
          <a:off x="0" y="0"/>
          <a:ext cx="4581525" cy="476251"/>
          <a:chOff x="567" y="459"/>
          <a:chExt cx="10772" cy="599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567" y="459"/>
            <a:ext cx="10772" cy="293"/>
          </a:xfrm>
          <a:prstGeom prst="rect">
            <a:avLst/>
          </a:prstGeom>
          <a:solidFill>
            <a:srgbClr val="99D6F0"/>
          </a:solidFill>
          <a:ln>
            <a:noFill/>
          </a:ln>
          <a:extLst>
            <a:ext uri="{91240B29-F687-4F45-9708-019B960494DF}">
              <a14:hiddenLine xmlns:a14="http://schemas.microsoft.com/office/drawing/2010/main" w="317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91440" tIns="45720" rIns="91440" bIns="45720" anchor="t" anchorCtr="0" upright="1">
            <a:noAutofit/>
          </a:bodyPr>
          <a:lstStyle/>
          <a:p>
            <a:endParaRPr lang="en-US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567" y="852"/>
            <a:ext cx="10772" cy="57"/>
          </a:xfrm>
          <a:prstGeom prst="rect">
            <a:avLst/>
          </a:prstGeom>
          <a:solidFill>
            <a:srgbClr val="3F9C35"/>
          </a:solidFill>
          <a:ln>
            <a:noFill/>
          </a:ln>
          <a:extLst>
            <a:ext uri="{91240B29-F687-4F45-9708-019B960494DF}">
              <a14:hiddenLine xmlns:a14="http://schemas.microsoft.com/office/drawing/2010/main" w="317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91440" tIns="45720" rIns="91440" bIns="45720" anchor="t" anchorCtr="0" upright="1">
            <a:noAutofit/>
          </a:bodyPr>
          <a:lstStyle/>
          <a:p>
            <a:endParaRPr lang="en-US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567" y="956"/>
            <a:ext cx="10772" cy="102"/>
          </a:xfrm>
          <a:prstGeom prst="rect">
            <a:avLst/>
          </a:prstGeom>
          <a:solidFill>
            <a:srgbClr val="003591"/>
          </a:solidFill>
          <a:ln>
            <a:noFill/>
          </a:ln>
          <a:extLst>
            <a:ext uri="{91240B29-F687-4F45-9708-019B960494DF}">
              <a14:hiddenLine xmlns:a14="http://schemas.microsoft.com/office/drawing/2010/main" w="317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91440" tIns="45720" rIns="91440" bIns="45720" anchor="t" anchorCtr="0" upright="1">
            <a:noAutofit/>
          </a:bodyPr>
          <a:lstStyle/>
          <a:p>
            <a:endParaRPr lang="en-US"/>
          </a:p>
        </xdr:txBody>
      </xdr:sp>
    </xdr:grpSp>
    <xdr:clientData/>
  </xdr:twoCellAnchor>
  <xdr:twoCellAnchor editAs="oneCell">
    <xdr:from>
      <xdr:col>2</xdr:col>
      <xdr:colOff>439917</xdr:colOff>
      <xdr:row>2</xdr:row>
      <xdr:rowOff>102916</xdr:rowOff>
    </xdr:from>
    <xdr:to>
      <xdr:col>4</xdr:col>
      <xdr:colOff>247650</xdr:colOff>
      <xdr:row>3</xdr:row>
      <xdr:rowOff>71801</xdr:rowOff>
    </xdr:to>
    <xdr:pic macro="[0]!egg"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9117" y="483916"/>
          <a:ext cx="1236483" cy="15938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27</xdr:row>
          <xdr:rowOff>180975</xdr:rowOff>
        </xdr:from>
        <xdr:to>
          <xdr:col>6</xdr:col>
          <xdr:colOff>590550</xdr:colOff>
          <xdr:row>28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438150</xdr:colOff>
      <xdr:row>0</xdr:row>
      <xdr:rowOff>156543</xdr:rowOff>
    </xdr:from>
    <xdr:to>
      <xdr:col>4</xdr:col>
      <xdr:colOff>438150</xdr:colOff>
      <xdr:row>19</xdr:row>
      <xdr:rowOff>166041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150" y="156543"/>
          <a:ext cx="2438400" cy="3628998"/>
        </a:xfrm>
        <a:prstGeom prst="rect">
          <a:avLst/>
        </a:prstGeom>
        <a:solidFill>
          <a:srgbClr val="FFFFFF">
            <a:shade val="85000"/>
          </a:srgbClr>
        </a:solidFill>
        <a:ln w="190500" cap="sq">
          <a:solidFill>
            <a:srgbClr val="FFFFFF"/>
          </a:solidFill>
          <a:miter lim="800000"/>
        </a:ln>
        <a:effectLst>
          <a:outerShdw blurRad="65000" dist="50800" dir="12900000" kx="195000" ky="145000" algn="tl" rotWithShape="0">
            <a:srgbClr val="000000">
              <a:alpha val="30000"/>
            </a:srgbClr>
          </a:outerShdw>
        </a:effectLst>
        <a:scene3d>
          <a:camera prst="orthographicFront">
            <a:rot lat="0" lon="0" rev="360000"/>
          </a:camera>
          <a:lightRig rig="twoPt" dir="t">
            <a:rot lat="0" lon="0" rev="7200000"/>
          </a:lightRig>
        </a:scene3d>
        <a:sp3d contourW="12700">
          <a:bevelT w="25400" h="19050"/>
          <a:contourClr>
            <a:srgbClr val="969696"/>
          </a:contourClr>
        </a:sp3d>
      </xdr:spPr>
    </xdr:pic>
    <xdr:clientData/>
  </xdr:twoCellAnchor>
  <xdr:twoCellAnchor editAs="absolute">
    <xdr:from>
      <xdr:col>0</xdr:col>
      <xdr:colOff>208518</xdr:colOff>
      <xdr:row>0</xdr:row>
      <xdr:rowOff>147018</xdr:rowOff>
    </xdr:from>
    <xdr:to>
      <xdr:col>4</xdr:col>
      <xdr:colOff>457200</xdr:colOff>
      <xdr:row>2</xdr:row>
      <xdr:rowOff>171450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208518" y="147018"/>
          <a:ext cx="2687082" cy="405432"/>
        </a:xfrm>
        <a:prstGeom prst="rect">
          <a:avLst/>
        </a:prstGeom>
        <a:noFill/>
      </xdr:spPr>
      <xdr:txBody>
        <a:bodyPr wrap="square" lIns="91440" tIns="45720" rIns="91440" bIns="45720" anchor="ctr">
          <a:spAutoFit/>
        </a:bodyPr>
        <a:lstStyle/>
        <a:p>
          <a:pPr algn="ctr"/>
          <a:r>
            <a:rPr lang="pl-PL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Wildcard</a:t>
          </a:r>
          <a:r>
            <a:rPr lang="pl-PL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Creator</a:t>
          </a:r>
          <a:endParaRPr lang="en-US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/>
  </sheetPr>
  <dimension ref="A1:O27"/>
  <sheetViews>
    <sheetView showRowColHeaders="0" tabSelected="1" zoomScale="115" zoomScaleNormal="115" workbookViewId="0">
      <selection sqref="A1:K26"/>
    </sheetView>
  </sheetViews>
  <sheetFormatPr defaultColWidth="0" defaultRowHeight="15" zeroHeight="1" x14ac:dyDescent="0.25"/>
  <cols>
    <col min="1" max="9" width="8.7109375" customWidth="1"/>
    <col min="10" max="11" width="8.7109375" hidden="1" customWidth="1"/>
    <col min="12" max="12" width="9.140625" hidden="1" customWidth="1"/>
    <col min="13" max="15" width="0" hidden="1" customWidth="1"/>
    <col min="16" max="16384" width="9.140625" hidden="1"/>
  </cols>
  <sheetData>
    <row r="1" spans="1:12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7"/>
    </row>
    <row r="2" spans="1:12" x14ac:dyDescent="0.2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7"/>
    </row>
    <row r="3" spans="1:12" x14ac:dyDescent="0.2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7"/>
    </row>
    <row r="4" spans="1:12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7"/>
    </row>
    <row r="5" spans="1:12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7"/>
    </row>
    <row r="6" spans="1:12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7"/>
    </row>
    <row r="7" spans="1:12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7"/>
    </row>
    <row r="8" spans="1:12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7"/>
    </row>
    <row r="9" spans="1:12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7"/>
    </row>
    <row r="10" spans="1:12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7"/>
    </row>
    <row r="11" spans="1:12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7"/>
    </row>
    <row r="12" spans="1:12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7"/>
    </row>
    <row r="13" spans="1:12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7"/>
    </row>
    <row r="14" spans="1:12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7"/>
    </row>
    <row r="15" spans="1:12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7"/>
    </row>
    <row r="16" spans="1:12" hidden="1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7"/>
    </row>
    <row r="17" spans="1:12" hidden="1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7"/>
    </row>
    <row r="18" spans="1:12" hidden="1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7"/>
    </row>
    <row r="19" spans="1:12" hidden="1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7"/>
    </row>
    <row r="20" spans="1:12" hidden="1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7"/>
    </row>
    <row r="21" spans="1:12" hidden="1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7"/>
    </row>
    <row r="22" spans="1:12" hidden="1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7"/>
    </row>
    <row r="23" spans="1:12" hidden="1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7"/>
    </row>
    <row r="24" spans="1:12" hidden="1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7"/>
    </row>
    <row r="25" spans="1:12" hidden="1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7"/>
    </row>
    <row r="26" spans="1:12" hidden="1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7"/>
    </row>
    <row r="27" spans="1:12" hidden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</sheetData>
  <sheetProtection algorithmName="SHA-512" hashValue="Rlz7TfZw8yPw2vh5thHU+bVjvKeCaOHfCxlFg8ksbJZUWQ2HS8uxdn+b8QsX0cmzA7H/P+KUlLfi+UAQ/Pl7Kg==" saltValue="MxrajbEuFBb83YnyFHilKw==" spinCount="100000" sheet="1" objects="1" selectLockedCells="1"/>
  <mergeCells count="1">
    <mergeCell ref="A1:K2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72BAC8"/>
  </sheetPr>
  <dimension ref="A1:N51"/>
  <sheetViews>
    <sheetView showRowColHeaders="0" zoomScale="85" zoomScaleNormal="85" workbookViewId="0">
      <selection activeCell="C4" sqref="C4"/>
    </sheetView>
  </sheetViews>
  <sheetFormatPr defaultColWidth="0" defaultRowHeight="15" zeroHeight="1" x14ac:dyDescent="0.25"/>
  <cols>
    <col min="1" max="2" width="8.7109375" customWidth="1"/>
    <col min="3" max="3" width="75.7109375" customWidth="1"/>
    <col min="4" max="5" width="8.7109375" customWidth="1"/>
    <col min="6" max="6" width="9.140625" hidden="1" customWidth="1"/>
    <col min="7" max="7" width="21" hidden="1" customWidth="1"/>
    <col min="8" max="11" width="9.140625" hidden="1" customWidth="1"/>
    <col min="12" max="12" width="19.42578125" hidden="1" customWidth="1"/>
    <col min="13" max="13" width="50.140625" hidden="1" customWidth="1"/>
    <col min="14" max="14" width="9.140625" hidden="1" customWidth="1"/>
    <col min="15" max="16384" width="9.140625" hidden="1"/>
  </cols>
  <sheetData>
    <row r="1" spans="1:13" x14ac:dyDescent="0.25">
      <c r="A1" s="9"/>
      <c r="B1" s="9"/>
      <c r="C1" s="10"/>
      <c r="D1" s="9"/>
      <c r="E1" s="9"/>
      <c r="F1" s="1"/>
    </row>
    <row r="2" spans="1:13" x14ac:dyDescent="0.25">
      <c r="A2" s="9"/>
      <c r="B2" s="9"/>
      <c r="C2" s="9"/>
      <c r="D2" s="11"/>
      <c r="E2" s="11"/>
      <c r="F2" s="1"/>
      <c r="G2" s="3" t="str">
        <f>SUBSTITUTE(C4,"(","*")</f>
        <v/>
      </c>
      <c r="L2" s="3" t="str">
        <f>SUBSTITUTE(G3,"-","*")</f>
        <v/>
      </c>
      <c r="M2" s="3"/>
    </row>
    <row r="3" spans="1:13" ht="15.75" thickBot="1" x14ac:dyDescent="0.3">
      <c r="A3" s="9"/>
      <c r="B3" s="9"/>
      <c r="C3" s="9"/>
      <c r="D3" s="9"/>
      <c r="E3" s="9"/>
      <c r="F3" s="1"/>
      <c r="G3" s="3" t="str">
        <f>SUBSTITUTE(G2,")","*")</f>
        <v/>
      </c>
      <c r="L3" s="3" t="str">
        <f>SUBSTITUTE(SUBSTITUTE(L2,".","*")," NV","*")</f>
        <v/>
      </c>
      <c r="M3" s="3"/>
    </row>
    <row r="4" spans="1:13" ht="24.95" customHeight="1" thickBot="1" x14ac:dyDescent="0.3">
      <c r="A4" s="34"/>
      <c r="B4" s="35"/>
      <c r="C4" s="13"/>
      <c r="D4" s="9"/>
      <c r="E4" s="9"/>
      <c r="F4" s="1"/>
      <c r="L4" s="3" t="str">
        <f>SUBSTITUTE(L3,"–","*")</f>
        <v/>
      </c>
      <c r="M4" s="3"/>
    </row>
    <row r="5" spans="1:13" ht="15.75" thickBot="1" x14ac:dyDescent="0.3">
      <c r="A5" s="12"/>
      <c r="B5" s="12"/>
      <c r="C5" s="12"/>
      <c r="D5" s="12"/>
      <c r="E5" s="9"/>
      <c r="F5" s="1"/>
      <c r="G5" s="4" t="str">
        <f>"*"&amp;SUBSTITUTE(D27," ","*")&amp;"*"</f>
        <v>**</v>
      </c>
      <c r="L5" s="3" t="str">
        <f>SUBSTITUTE(SUBSTITUTE(L4,"?","*"),"GmbH &amp; Co. KG","*")</f>
        <v/>
      </c>
      <c r="M5" s="3"/>
    </row>
    <row r="6" spans="1:13" ht="24.95" customHeight="1" thickBot="1" x14ac:dyDescent="0.3">
      <c r="A6" s="36" t="s">
        <v>0</v>
      </c>
      <c r="B6" s="37"/>
      <c r="C6" s="14" t="str">
        <f>C14</f>
        <v>*</v>
      </c>
      <c r="D6" s="9"/>
      <c r="E6" s="9"/>
      <c r="F6" s="1"/>
      <c r="L6" s="3" t="str">
        <f>SUBSTITUTE(L5,"!","*")</f>
        <v/>
      </c>
      <c r="M6" s="3"/>
    </row>
    <row r="7" spans="1:13" x14ac:dyDescent="0.25">
      <c r="A7" s="38"/>
      <c r="B7" s="38"/>
      <c r="C7" s="38"/>
      <c r="D7" s="38"/>
      <c r="E7" s="38"/>
      <c r="F7" s="1"/>
      <c r="G7" s="4" t="str">
        <f>SUBSTITUTE(SUBSTITUTE(SUBSTITUTE(SUBSTITUTE(G5,"***","*"),"****","*"),"*****","*"),"******","*")</f>
        <v>**</v>
      </c>
      <c r="L7" s="3" t="str">
        <f>SUBSTITUTE(SUBSTITUTE(SUBSTITUTE(L6,"&amp;","*"),"KG","*")," AG","*")</f>
        <v/>
      </c>
      <c r="M7" s="3"/>
    </row>
    <row r="8" spans="1:13" x14ac:dyDescent="0.25">
      <c r="A8" s="38"/>
      <c r="B8" s="38"/>
      <c r="C8" s="38"/>
      <c r="D8" s="38"/>
      <c r="E8" s="38"/>
      <c r="F8" s="1"/>
      <c r="L8" s="3" t="str">
        <f>SUBSTITUTE(SUBSTITUTE(L7,"“","*"),"SAS","*")</f>
        <v/>
      </c>
      <c r="M8" s="3"/>
    </row>
    <row r="9" spans="1:13" x14ac:dyDescent="0.25">
      <c r="A9" s="39"/>
      <c r="B9" s="39"/>
      <c r="C9" s="39"/>
      <c r="D9" s="39"/>
      <c r="E9" s="39"/>
      <c r="F9" s="1"/>
      <c r="L9" s="3" t="str">
        <f>SUBSTITUTE(SUBSTITUTE(SUBSTITUTE(SUBSTITUTE(SUBSTITUTE(L8,"”","*"),"{","*"),"}","*"),"|","*"),":","*")</f>
        <v/>
      </c>
      <c r="M9" s="3"/>
    </row>
    <row r="10" spans="1:13" s="1" customFormat="1" hidden="1" x14ac:dyDescent="0.25">
      <c r="L10" s="3" t="str">
        <f>SUBSTITUTE(SUBSTITUTE(SUBSTITUTE(SUBSTITUTE(SUBSTITUTE(SUBSTITUTE(SUBSTITUTE(SUBSTITUTE(SUBSTITUTE(SUBSTITUTE(SUBSTITUTE(SUBSTITUTE(SUBSTITUTE(SUBSTITUTE(L9,",","*"),"!","*"),"@","*"),"#","*"),"$","*"),"%","*"),"_","*"),"^","*"),"=","*"),";","'"),"&lt;","*"),"&gt;","*"),"`","*"),"~","*")</f>
        <v/>
      </c>
      <c r="M10" s="4"/>
    </row>
    <row r="11" spans="1:13" hidden="1" x14ac:dyDescent="0.25">
      <c r="L11" s="1"/>
    </row>
    <row r="12" spans="1:13" hidden="1" x14ac:dyDescent="0.25"/>
    <row r="13" spans="1:13" hidden="1" x14ac:dyDescent="0.25">
      <c r="G13" t="s">
        <v>6</v>
      </c>
    </row>
    <row r="14" spans="1:13" ht="15.75" hidden="1" thickBot="1" x14ac:dyDescent="0.3">
      <c r="C14" s="8" t="str">
        <f>SUBSTITUTE(C15,"**","*")</f>
        <v>*</v>
      </c>
    </row>
    <row r="15" spans="1:13" ht="15.75" hidden="1" thickBot="1" x14ac:dyDescent="0.3">
      <c r="C15" s="2" t="str">
        <f>SUBSTITUTE(G7,"**","*")</f>
        <v>*</v>
      </c>
    </row>
    <row r="16" spans="1:13" hidden="1" x14ac:dyDescent="0.25"/>
    <row r="17" spans="2:14" hidden="1" x14ac:dyDescent="0.25"/>
    <row r="18" spans="2:14" hidden="1" x14ac:dyDescent="0.25"/>
    <row r="19" spans="2:14" ht="15.75" hidden="1" thickBot="1" x14ac:dyDescent="0.3"/>
    <row r="20" spans="2:14" ht="15.75" hidden="1" thickBot="1" x14ac:dyDescent="0.3">
      <c r="B20" s="45" t="s">
        <v>2</v>
      </c>
      <c r="C20" s="46"/>
      <c r="D20" s="42" t="str">
        <f>SUBSTITUTE(SUBSTITUTE(SUBSTITUTE(SUBSTITUTE(SUBSTITUTE(SUBSTITUTE(SUBSTITUTE(SUBSTITUTE(SUBSTITUTE(SUBSTITUTE(SUBSTITUTE(SUBSTITUTE(SUBSTITUTE(SUBSTITUTE(SUBSTITUTE(SUBSTITUTE(SUBSTITUTE(SUBSTITUTE(SUBSTITUTE(SUBSTITUTE(SUBSTITUTE(SUBSTITUTE(SUBSTITUTE(L10,"Ä","*"),"ä","*"),"À","*"),"à","*"),"Á","*"),"á","*"),"Â","*"),"â","*"),"Ã","*"),"ã","*"),"Å","*"),"å","*"),"Ǎ","*"),"ǎ","*"),"Ą","*"),"ą","*"),"Ă","*"),"ă","*"),"Æ","*"),"æ","*"),"Ā","*"),"ā","*"),"SRL","*")</f>
        <v/>
      </c>
      <c r="E20" s="43"/>
      <c r="F20" s="43"/>
      <c r="G20" s="43"/>
      <c r="H20" s="43"/>
      <c r="I20" s="43"/>
      <c r="J20" s="43"/>
      <c r="K20" s="43"/>
      <c r="L20" s="43"/>
      <c r="M20" s="44"/>
    </row>
    <row r="21" spans="2:14" ht="15.75" hidden="1" thickBot="1" x14ac:dyDescent="0.3">
      <c r="B21" s="47"/>
      <c r="C21" s="48"/>
      <c r="D21" s="43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D20,"Ç","*"),"ç","*"),"Ć","*"),"ć","*"),"Ĉ","*"),"ĉ","*"),"Č","*"),"č","*"),"Ď","*"),"đ","*"),"Đ","*"),"ď","*"),"ð","*"),"È","*"),"è","*"),"É","*"),"é","*"),"Ê","*"),"ê","*"),"Ë","*"),"ë","*"),"Ě","*"),"ě","*"),"Ltd","*")</f>
        <v/>
      </c>
      <c r="E21" s="43"/>
      <c r="F21" s="43"/>
      <c r="G21" s="43"/>
      <c r="H21" s="43"/>
      <c r="I21" s="43"/>
      <c r="J21" s="43"/>
      <c r="K21" s="43"/>
      <c r="L21" s="43"/>
      <c r="M21" s="44"/>
    </row>
    <row r="22" spans="2:14" ht="15.75" hidden="1" thickBot="1" x14ac:dyDescent="0.3">
      <c r="B22" s="47"/>
      <c r="C22" s="48"/>
      <c r="D22" s="51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D21,"Ę","*"),"ę","*"),"Ė","*"),"ė","*"),"Ē","*"),"ē","*"),"Ĝ","*"),"ĝ","*"),"Ģ","*"),"ģ","*"),"Ğ","*"),"ğ","*"),"Ĥ","*"),"ĥ","*"),"Ì","*"),"ì","*"),"Í","*"),"í","*"),"Î","*"),"î","*"),"Ï","*"),"ï","*"),"ě","*"),"ī","*"),"Į","*"),"į","*")</f>
        <v/>
      </c>
      <c r="E22" s="43"/>
      <c r="F22" s="43"/>
      <c r="G22" s="43"/>
      <c r="H22" s="43"/>
      <c r="I22" s="43"/>
      <c r="J22" s="43"/>
      <c r="K22" s="43"/>
      <c r="L22" s="43"/>
      <c r="M22" s="44"/>
    </row>
    <row r="23" spans="2:14" ht="15.75" hidden="1" thickBot="1" x14ac:dyDescent="0.3">
      <c r="B23" s="47"/>
      <c r="C23" s="48"/>
      <c r="D23" s="51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D22,"Ĵ","*"),"ĵ","*"),"Ķ","*"),"ķ","*"),"Ĺ","*"),"ĺ","*"),"Ļ","*"),"ļ","*"),"Ł","*"),"ł","*"),"Ľ","*"),"ľ","*"),"Ñ","*"),"ñ","*"),"Ń","*"),"ń","*"),"Ň","*"),"ň","*"),"Ņ","*"),"ņ","*"),"Ö","*"),"ö","*"),"Ò","*"),"ò","*"),"Ó","*"),"ó","*")</f>
        <v/>
      </c>
      <c r="E23" s="43"/>
      <c r="F23" s="43"/>
      <c r="G23" s="43"/>
      <c r="H23" s="43"/>
      <c r="I23" s="43"/>
      <c r="J23" s="43"/>
      <c r="K23" s="43"/>
      <c r="L23" s="43"/>
      <c r="M23" s="44"/>
    </row>
    <row r="24" spans="2:14" ht="15.75" hidden="1" thickBot="1" x14ac:dyDescent="0.3">
      <c r="B24" s="47"/>
      <c r="C24" s="48"/>
      <c r="D24" s="51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D23,"Ô","*"),"ĵ","*"),"ô","*"),"Õ","*"),"õ","*"),"Ő","*"),"ő","*"),"Ø","*"),"ø","*"),"Œ","*"),"œ","*"),"Ŕ","*"),"ŕ","*"),"Ř","*"),"ř","*"),"ẞ","*"),"ß","*"),"Ś","*"),"ś","*"),"Ŝ","*"),"ŝ","*"),"Ş","*"),"ş","*"),"Ș","*"),"ș","*"),"ó","*")</f>
        <v/>
      </c>
      <c r="E24" s="43"/>
      <c r="F24" s="43"/>
      <c r="G24" s="43"/>
      <c r="H24" s="43"/>
      <c r="I24" s="43"/>
      <c r="J24" s="43"/>
      <c r="K24" s="43"/>
      <c r="L24" s="43"/>
      <c r="M24" s="44"/>
    </row>
    <row r="25" spans="2:14" ht="15.75" hidden="1" thickBot="1" x14ac:dyDescent="0.3">
      <c r="B25" s="47"/>
      <c r="C25" s="48"/>
      <c r="D25" s="51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D24,"ť","*"),"Ţ","*"),"ţ","*"),"Þ","*"),"þ","*"),"Ț","*"),"ț","*"),"Ü","*"),"ü","*"),"Ù","*"),"ù","*"),"Ú","*"),"ú","*"),"Û","*"),"û","*"),"Ű","*"),"ű","*"),"Ũ","*"),"ũ","*"),"Ų","*"),"ų","*"),"Ů","*"),"ů","*"),"Ū","*"),"ū","*"),"Ŵ","*"),"ŵ","*")</f>
        <v/>
      </c>
      <c r="E25" s="43"/>
      <c r="F25" s="43"/>
      <c r="G25" s="43"/>
      <c r="H25" s="43"/>
      <c r="I25" s="43"/>
      <c r="J25" s="43"/>
      <c r="K25" s="43"/>
      <c r="L25" s="43"/>
      <c r="M25" s="44"/>
    </row>
    <row r="26" spans="2:14" ht="41.25" hidden="1" customHeight="1" thickBot="1" x14ac:dyDescent="0.3">
      <c r="B26" s="47"/>
      <c r="C26" s="48"/>
      <c r="D26" s="52" t="str">
        <f>SUBSTITUTE(SUBSTITUTE(SUBSTITUTE(SUBSTITUTE(SUBSTITUTE(SUBSTITUTE(SUBSTITUTE(SUBSTITUTE(SUBSTITUTE(SUBSTITUTE(SUBSTITUTE(SUBSTITUTE(SUBSTITUTE(SUBSTITUTE(SUBSTITUTE(SUBSTITUTE(SUBSTITUTE(D25,"Ý","*"),"ý","*"),"Ÿ","*"),"ÿ","*"),"Ŷ","*"),"ŷ","*"),"Ź","*"),"ź","*"),"Ž","*"),"ž","*"),"Ż","*"),"[","*"),"]","*"),"GmbH","*"),"ltd","*"),"S.R.L","*"),"ltd","*")</f>
        <v/>
      </c>
      <c r="E26" s="53"/>
      <c r="F26" s="53"/>
      <c r="G26" s="53"/>
      <c r="H26" s="53"/>
      <c r="I26" s="53"/>
      <c r="J26" s="53"/>
      <c r="K26" s="53"/>
      <c r="L26" s="53"/>
      <c r="M26" s="54"/>
    </row>
    <row r="27" spans="2:14" ht="15.75" hidden="1" thickBot="1" x14ac:dyDescent="0.3">
      <c r="B27" s="47"/>
      <c r="C27" s="48"/>
      <c r="D27" s="55" t="str">
        <f>SUBSTITUTE(SUBSTITUTE(SUBSTITUTE(SUBSTITUTE(SUBSTITUTE(SUBSTITUTE(SUBSTITUTE(SUBSTITUTE(SUBSTITUTE(SUBSTITUTE(SUBSTITUTE(SUBSTITUTE(SUBSTITUTE(D26,"ż","*"),"+","*")," And ","*")," AND ","*")," and ","*"),"ı","*"),"Ī","*"),"Š","*"),"š","*"),"Ť","*"),"/","*"),"\","*"),"*S*R*L*","*")</f>
        <v/>
      </c>
      <c r="E27" s="56"/>
      <c r="F27" s="56"/>
      <c r="G27" s="56"/>
      <c r="H27" s="56"/>
      <c r="I27" s="56"/>
      <c r="J27" s="56"/>
      <c r="K27" s="56"/>
      <c r="L27" s="56"/>
      <c r="M27" s="57"/>
      <c r="N27" t="s">
        <v>3</v>
      </c>
    </row>
    <row r="28" spans="2:14" ht="15.75" hidden="1" thickBot="1" x14ac:dyDescent="0.3">
      <c r="B28" s="47"/>
      <c r="C28" s="48"/>
      <c r="D28" s="55"/>
      <c r="E28" s="56"/>
      <c r="F28" s="56"/>
      <c r="G28" s="56"/>
      <c r="H28" s="56"/>
      <c r="I28" s="56"/>
      <c r="J28" s="56"/>
      <c r="K28" s="56"/>
      <c r="L28" s="56"/>
      <c r="M28" s="57"/>
    </row>
    <row r="29" spans="2:14" ht="15.75" hidden="1" thickBot="1" x14ac:dyDescent="0.3">
      <c r="B29" s="47"/>
      <c r="C29" s="48"/>
      <c r="D29" s="55"/>
      <c r="E29" s="56"/>
      <c r="F29" s="56"/>
      <c r="G29" s="56"/>
      <c r="H29" s="56"/>
      <c r="I29" s="56"/>
      <c r="J29" s="56"/>
      <c r="K29" s="56"/>
      <c r="L29" s="56"/>
      <c r="M29" s="57"/>
    </row>
    <row r="30" spans="2:14" ht="15.75" hidden="1" thickBot="1" x14ac:dyDescent="0.3">
      <c r="B30" s="47"/>
      <c r="C30" s="48"/>
      <c r="D30" s="55"/>
      <c r="E30" s="56"/>
      <c r="F30" s="56"/>
      <c r="G30" s="56"/>
      <c r="H30" s="56"/>
      <c r="I30" s="56"/>
      <c r="J30" s="56"/>
      <c r="K30" s="56"/>
      <c r="L30" s="56"/>
      <c r="M30" s="57"/>
    </row>
    <row r="31" spans="2:14" hidden="1" x14ac:dyDescent="0.25">
      <c r="B31" s="47"/>
      <c r="C31" s="48"/>
      <c r="D31" s="40" t="s">
        <v>1</v>
      </c>
      <c r="E31" s="41"/>
      <c r="F31" s="41"/>
      <c r="G31" s="41"/>
      <c r="H31" s="41"/>
      <c r="I31" s="41"/>
      <c r="J31" s="41"/>
      <c r="K31" s="41"/>
      <c r="L31" s="41"/>
      <c r="M31" s="41"/>
    </row>
    <row r="32" spans="2:14" hidden="1" x14ac:dyDescent="0.25">
      <c r="B32" s="47"/>
      <c r="C32" s="48"/>
    </row>
    <row r="33" spans="2:9" hidden="1" x14ac:dyDescent="0.25">
      <c r="B33" s="47"/>
      <c r="C33" s="48"/>
      <c r="D33" s="5"/>
      <c r="E33" s="5"/>
      <c r="F33" s="5"/>
      <c r="G33" s="5"/>
      <c r="H33" s="5"/>
      <c r="I33" s="5"/>
    </row>
    <row r="34" spans="2:9" ht="15" hidden="1" customHeight="1" x14ac:dyDescent="0.25">
      <c r="B34" s="47"/>
      <c r="C34" s="48"/>
      <c r="D34" s="5"/>
      <c r="E34" s="6"/>
      <c r="F34" s="6"/>
      <c r="G34" s="6"/>
      <c r="H34" s="6"/>
      <c r="I34" s="6"/>
    </row>
    <row r="35" spans="2:9" hidden="1" x14ac:dyDescent="0.25">
      <c r="B35" s="47"/>
      <c r="C35" s="48"/>
      <c r="D35" s="6"/>
      <c r="E35" s="6"/>
      <c r="F35" s="6"/>
      <c r="G35" s="6"/>
      <c r="H35" s="6"/>
      <c r="I35" s="6"/>
    </row>
    <row r="36" spans="2:9" hidden="1" x14ac:dyDescent="0.25">
      <c r="B36" s="47"/>
      <c r="C36" s="48"/>
      <c r="D36" s="6"/>
      <c r="E36" s="6"/>
      <c r="F36" s="6"/>
      <c r="G36" s="6"/>
      <c r="H36" s="6"/>
      <c r="I36" s="6"/>
    </row>
    <row r="37" spans="2:9" hidden="1" x14ac:dyDescent="0.25">
      <c r="B37" s="47"/>
      <c r="C37" s="48"/>
      <c r="D37" s="6"/>
      <c r="E37" s="6"/>
      <c r="F37" s="6"/>
      <c r="G37" s="6"/>
      <c r="H37" s="6"/>
      <c r="I37" s="6"/>
    </row>
    <row r="38" spans="2:9" ht="15.75" hidden="1" thickBot="1" x14ac:dyDescent="0.3">
      <c r="B38" s="49"/>
      <c r="C38" s="50"/>
      <c r="D38" s="6"/>
      <c r="E38" s="6"/>
      <c r="F38" s="6"/>
      <c r="G38" s="6"/>
      <c r="H38" s="6"/>
      <c r="I38" s="6"/>
    </row>
    <row r="39" spans="2:9" hidden="1" x14ac:dyDescent="0.25">
      <c r="D39" s="6"/>
      <c r="E39" s="6"/>
      <c r="F39" s="6"/>
      <c r="G39" s="6"/>
      <c r="H39" s="6"/>
      <c r="I39" s="6"/>
    </row>
    <row r="40" spans="2:9" hidden="1" x14ac:dyDescent="0.25">
      <c r="D40" s="6"/>
      <c r="E40" s="6"/>
      <c r="F40" s="6"/>
      <c r="G40" s="6"/>
      <c r="H40" s="6"/>
      <c r="I40" s="6"/>
    </row>
    <row r="41" spans="2:9" hidden="1" x14ac:dyDescent="0.25">
      <c r="D41" s="6"/>
      <c r="E41" s="6"/>
      <c r="F41" s="6"/>
      <c r="G41" s="6"/>
      <c r="H41" s="6"/>
      <c r="I41" s="6"/>
    </row>
    <row r="42" spans="2:9" hidden="1" x14ac:dyDescent="0.25">
      <c r="D42" s="6"/>
      <c r="E42" s="6"/>
      <c r="F42" s="6"/>
      <c r="G42" s="6"/>
      <c r="H42" s="6"/>
      <c r="I42" s="6"/>
    </row>
    <row r="43" spans="2:9" hidden="1" x14ac:dyDescent="0.25">
      <c r="D43" s="6"/>
      <c r="E43" s="6"/>
      <c r="F43" s="6"/>
      <c r="G43" s="6"/>
      <c r="H43" s="6"/>
      <c r="I43" s="6"/>
    </row>
    <row r="44" spans="2:9" hidden="1" x14ac:dyDescent="0.25">
      <c r="D44" s="6"/>
      <c r="E44" s="6"/>
      <c r="F44" s="6"/>
      <c r="G44" s="6"/>
      <c r="H44" s="6"/>
      <c r="I44" s="6"/>
    </row>
    <row r="45" spans="2:9" hidden="1" x14ac:dyDescent="0.25">
      <c r="D45" s="6"/>
      <c r="E45" s="6"/>
      <c r="F45" s="6"/>
      <c r="G45" s="6"/>
      <c r="H45" s="6"/>
      <c r="I45" s="6"/>
    </row>
    <row r="46" spans="2:9" hidden="1" x14ac:dyDescent="0.25">
      <c r="D46" s="6"/>
      <c r="E46" s="6"/>
      <c r="F46" s="6"/>
      <c r="G46" s="6"/>
      <c r="H46" s="6"/>
      <c r="I46" s="6"/>
    </row>
    <row r="47" spans="2:9" hidden="1" x14ac:dyDescent="0.25">
      <c r="D47" s="6"/>
      <c r="E47" s="6"/>
      <c r="F47" s="6"/>
      <c r="G47" s="6"/>
      <c r="H47" s="6"/>
      <c r="I47" s="6"/>
    </row>
    <row r="48" spans="2:9" hidden="1" x14ac:dyDescent="0.25">
      <c r="D48" s="6"/>
      <c r="E48" s="6"/>
      <c r="F48" s="6"/>
      <c r="G48" s="6"/>
      <c r="H48" s="6"/>
      <c r="I48" s="6"/>
    </row>
    <row r="49" spans="4:9" hidden="1" x14ac:dyDescent="0.25">
      <c r="D49" s="6"/>
      <c r="E49" s="6"/>
      <c r="F49" s="6"/>
      <c r="G49" s="6"/>
      <c r="H49" s="6"/>
      <c r="I49" s="6"/>
    </row>
    <row r="50" spans="4:9" hidden="1" x14ac:dyDescent="0.25">
      <c r="D50" s="6"/>
      <c r="E50" s="6"/>
      <c r="F50" s="6"/>
      <c r="G50" s="6"/>
      <c r="H50" s="6"/>
      <c r="I50" s="6"/>
    </row>
    <row r="51" spans="4:9" hidden="1" x14ac:dyDescent="0.25">
      <c r="D51" s="5"/>
      <c r="E51" s="5"/>
      <c r="F51" s="5"/>
      <c r="G51" s="5"/>
      <c r="H51" s="5"/>
      <c r="I51" s="5"/>
    </row>
  </sheetData>
  <sheetProtection algorithmName="SHA-512" hashValue="1USFhRgg7QDnxgyfNg8lYDINSmT2ZxNfkg6pXhEofMdaV22xc8GN1Zm1NQ5ICMQshJgr6xijmuLIuNKsm1LjWA==" saltValue="vMHxHhN4kU028uCZJCqiMg==" spinCount="100000" sheet="1" objects="1" selectLockedCells="1"/>
  <mergeCells count="16">
    <mergeCell ref="A4:B4"/>
    <mergeCell ref="A6:B6"/>
    <mergeCell ref="A7:E9"/>
    <mergeCell ref="D31:M31"/>
    <mergeCell ref="D20:M20"/>
    <mergeCell ref="D21:M21"/>
    <mergeCell ref="B20:C38"/>
    <mergeCell ref="D22:M22"/>
    <mergeCell ref="D23:M23"/>
    <mergeCell ref="D24:M24"/>
    <mergeCell ref="D25:M25"/>
    <mergeCell ref="D26:M26"/>
    <mergeCell ref="D27:M27"/>
    <mergeCell ref="D28:M28"/>
    <mergeCell ref="D29:M29"/>
    <mergeCell ref="D30:M30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72BAC8"/>
  </sheetPr>
  <dimension ref="A1:N51"/>
  <sheetViews>
    <sheetView showRowColHeaders="0" zoomScale="85" zoomScaleNormal="85" workbookViewId="0">
      <selection activeCell="C4" sqref="C4"/>
    </sheetView>
  </sheetViews>
  <sheetFormatPr defaultColWidth="0" defaultRowHeight="15" customHeight="1" zeroHeight="1" x14ac:dyDescent="0.25"/>
  <cols>
    <col min="1" max="2" width="8.7109375" style="9" customWidth="1"/>
    <col min="3" max="3" width="75.7109375" style="9" customWidth="1"/>
    <col min="4" max="5" width="8.7109375" style="9" customWidth="1"/>
    <col min="6" max="6" width="9.140625" style="9" hidden="1" customWidth="1"/>
    <col min="7" max="7" width="21" style="9" hidden="1" customWidth="1"/>
    <col min="8" max="11" width="9.140625" style="9" hidden="1" customWidth="1"/>
    <col min="12" max="12" width="19.42578125" style="9" hidden="1" customWidth="1"/>
    <col min="13" max="13" width="50.140625" style="9" hidden="1" customWidth="1"/>
    <col min="14" max="16384" width="9.140625" style="9" hidden="1"/>
  </cols>
  <sheetData>
    <row r="1" spans="1:13" x14ac:dyDescent="0.25">
      <c r="C1" s="10"/>
    </row>
    <row r="2" spans="1:13" x14ac:dyDescent="0.25">
      <c r="D2" s="11"/>
      <c r="E2" s="11"/>
      <c r="G2" s="15" t="str">
        <f>SUBSTITUTE(C4,"(","*")</f>
        <v/>
      </c>
      <c r="L2" s="15" t="str">
        <f>SUBSTITUTE(G3,"-","*")</f>
        <v/>
      </c>
      <c r="M2" s="15"/>
    </row>
    <row r="3" spans="1:13" ht="15.75" thickBot="1" x14ac:dyDescent="0.3">
      <c r="G3" s="15" t="str">
        <f>SUBSTITUTE(G2,")","*")</f>
        <v/>
      </c>
      <c r="L3" s="15" t="str">
        <f>SUBSTITUTE(SUBSTITUTE(L2,".","*")," NV","*")</f>
        <v/>
      </c>
      <c r="M3" s="15"/>
    </row>
    <row r="4" spans="1:13" ht="24.95" customHeight="1" thickBot="1" x14ac:dyDescent="0.3">
      <c r="A4" s="34"/>
      <c r="B4" s="35"/>
      <c r="C4" s="13"/>
      <c r="L4" s="15" t="str">
        <f>SUBSTITUTE(L3,"–","*")</f>
        <v/>
      </c>
      <c r="M4" s="15"/>
    </row>
    <row r="5" spans="1:13" ht="15.75" thickBot="1" x14ac:dyDescent="0.3">
      <c r="A5" s="34"/>
      <c r="B5" s="34"/>
      <c r="C5" s="34"/>
      <c r="D5" s="34"/>
      <c r="G5" s="15" t="str">
        <f>"*"&amp;SUBSTITUTE(D27," ","*")&amp;"*"</f>
        <v>**</v>
      </c>
      <c r="L5" s="15" t="str">
        <f>SUBSTITUTE(SUBSTITUTE(L4,"?","*"),"GmbH &amp; Co. KG","*")</f>
        <v/>
      </c>
      <c r="M5" s="15"/>
    </row>
    <row r="6" spans="1:13" ht="24.95" customHeight="1" thickBot="1" x14ac:dyDescent="0.3">
      <c r="A6" s="36" t="s">
        <v>0</v>
      </c>
      <c r="B6" s="37"/>
      <c r="C6" s="14" t="str">
        <f>C14</f>
        <v>*</v>
      </c>
      <c r="L6" s="15" t="str">
        <f>SUBSTITUTE(L5,"!","*")</f>
        <v/>
      </c>
      <c r="M6" s="15"/>
    </row>
    <row r="7" spans="1:13" x14ac:dyDescent="0.25">
      <c r="A7" s="38"/>
      <c r="B7" s="38"/>
      <c r="C7" s="38"/>
      <c r="D7" s="38"/>
      <c r="E7" s="38"/>
      <c r="G7" s="15" t="str">
        <f>SUBSTITUTE(SUBSTITUTE(SUBSTITUTE(SUBSTITUTE(G5,"***","*"),"****","*"),"*****","*"),"******","*")</f>
        <v>**</v>
      </c>
      <c r="L7" s="15" t="str">
        <f>SUBSTITUTE(SUBSTITUTE(SUBSTITUTE(L6,"&amp;","*"),"KG","*")," AG","*")</f>
        <v/>
      </c>
      <c r="M7" s="15"/>
    </row>
    <row r="8" spans="1:13" x14ac:dyDescent="0.25">
      <c r="A8" s="38"/>
      <c r="B8" s="38"/>
      <c r="C8" s="38"/>
      <c r="D8" s="38"/>
      <c r="E8" s="38"/>
      <c r="L8" s="15" t="str">
        <f>SUBSTITUTE(SUBSTITUTE(L7,"“","*"),"SAS","*")</f>
        <v/>
      </c>
      <c r="M8" s="15"/>
    </row>
    <row r="9" spans="1:13" x14ac:dyDescent="0.25">
      <c r="A9" s="39"/>
      <c r="B9" s="39"/>
      <c r="C9" s="39"/>
      <c r="D9" s="39"/>
      <c r="E9" s="39"/>
      <c r="L9" s="15" t="str">
        <f>SUBSTITUTE(SUBSTITUTE(SUBSTITUTE(SUBSTITUTE(SUBSTITUTE(L8,"”","*"),"{","*"),"}","*"),"|","*"),":","*")</f>
        <v/>
      </c>
      <c r="M9" s="15"/>
    </row>
    <row r="10" spans="1:13" hidden="1" x14ac:dyDescent="0.25">
      <c r="L10" s="15" t="str">
        <f>SUBSTITUTE(SUBSTITUTE(SUBSTITUTE(SUBSTITUTE(SUBSTITUTE(SUBSTITUTE(SUBSTITUTE(SUBSTITUTE(SUBSTITUTE(SUBSTITUTE(SUBSTITUTE(SUBSTITUTE(SUBSTITUTE(SUBSTITUTE(L9,",","*"),"!","*"),"@","*"),"#","*"),"$","*"),"%","*"),"_","*"),"^","*"),"=","*"),";","'"),"&lt;","*"),"&gt;","*"),"`","*"),"~","*")</f>
        <v/>
      </c>
      <c r="M10" s="15"/>
    </row>
    <row r="11" spans="1:13" hidden="1" x14ac:dyDescent="0.25"/>
    <row r="12" spans="1:13" hidden="1" x14ac:dyDescent="0.25"/>
    <row r="13" spans="1:13" hidden="1" x14ac:dyDescent="0.25">
      <c r="G13" s="9" t="s">
        <v>6</v>
      </c>
    </row>
    <row r="14" spans="1:13" ht="15.75" hidden="1" thickBot="1" x14ac:dyDescent="0.3">
      <c r="C14" s="9" t="str">
        <f>SUBSTITUTE(C15,"**","*")</f>
        <v>*</v>
      </c>
    </row>
    <row r="15" spans="1:13" ht="15.75" hidden="1" thickBot="1" x14ac:dyDescent="0.3">
      <c r="C15" s="16" t="str">
        <f>SUBSTITUTE(G7,"**","*")</f>
        <v>*</v>
      </c>
    </row>
    <row r="16" spans="1:13" hidden="1" x14ac:dyDescent="0.25"/>
    <row r="17" spans="2:14" hidden="1" x14ac:dyDescent="0.25"/>
    <row r="18" spans="2:14" hidden="1" x14ac:dyDescent="0.25"/>
    <row r="19" spans="2:14" ht="15.75" hidden="1" thickBot="1" x14ac:dyDescent="0.3"/>
    <row r="20" spans="2:14" ht="15.75" hidden="1" thickBot="1" x14ac:dyDescent="0.3">
      <c r="B20" s="61" t="s">
        <v>2</v>
      </c>
      <c r="C20" s="62"/>
      <c r="D20" s="67" t="str">
        <f>SUBSTITUTE(SUBSTITUTE(SUBSTITUTE(SUBSTITUTE(SUBSTITUTE(SUBSTITUTE(SUBSTITUTE(SUBSTITUTE(SUBSTITUTE(SUBSTITUTE(SUBSTITUTE(SUBSTITUTE(SUBSTITUTE(SUBSTITUTE(SUBSTITUTE(SUBSTITUTE(SUBSTITUTE(SUBSTITUTE(SUBSTITUTE(SUBSTITUTE(SUBSTITUTE(SUBSTITUTE(SUBSTITUTE(L10,"Ä","*"),"ä","*"),"À","*"),"à","*"),"Á","*"),"á","*"),"Â","*"),"â","*"),"Ã","*"),"ã","*"),"Å","*"),"å","*"),"Ǎ","*"),"ǎ","*"),"Ą","*"),"ą","*"),"Ă","*"),"ă","*"),"Æ","*"),"æ","*"),"Ā","*"),"ā","*"),"SRL","*")</f>
        <v/>
      </c>
      <c r="E20" s="68"/>
      <c r="F20" s="68"/>
      <c r="G20" s="68"/>
      <c r="H20" s="68"/>
      <c r="I20" s="68"/>
      <c r="J20" s="68"/>
      <c r="K20" s="68"/>
      <c r="L20" s="68"/>
      <c r="M20" s="69"/>
    </row>
    <row r="21" spans="2:14" ht="15.75" hidden="1" thickBot="1" x14ac:dyDescent="0.3">
      <c r="B21" s="63"/>
      <c r="C21" s="64"/>
      <c r="D21" s="68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D20,"Ç","*"),"ç","*"),"Ć","*"),"ć","*"),"Ĉ","*"),"ĉ","*"),"Č","*"),"č","*"),"Ď","*"),"đ","*"),"Đ","*"),"ď","*"),"ð","*"),"È","*"),"è","*"),"É","*"),"é","*"),"Ê","*"),"ê","*"),"Ë","*"),"ë","*"),"Ě","*"),"ě","*"),"Ltd","*")</f>
        <v/>
      </c>
      <c r="E21" s="68"/>
      <c r="F21" s="68"/>
      <c r="G21" s="68"/>
      <c r="H21" s="68"/>
      <c r="I21" s="68"/>
      <c r="J21" s="68"/>
      <c r="K21" s="68"/>
      <c r="L21" s="68"/>
      <c r="M21" s="69"/>
    </row>
    <row r="22" spans="2:14" ht="15.75" hidden="1" thickBot="1" x14ac:dyDescent="0.3">
      <c r="B22" s="63"/>
      <c r="C22" s="64"/>
      <c r="D22" s="70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D21,"Ę","*"),"ę","*"),"Ė","*"),"ė","*"),"Ē","*"),"ē","*"),"Ĝ","*"),"ĝ","*"),"Ģ","*"),"ģ","*"),"Ğ","*"),"ğ","*"),"Ĥ","*"),"ĥ","*"),"Ì","*"),"ì","*"),"Í","*"),"í","*"),"Î","*"),"î","*"),"Ï","*"),"ï","*"),"ě","*"),"ī","*"),"Į","*"),"į","*")</f>
        <v/>
      </c>
      <c r="E22" s="68"/>
      <c r="F22" s="68"/>
      <c r="G22" s="68"/>
      <c r="H22" s="68"/>
      <c r="I22" s="68"/>
      <c r="J22" s="68"/>
      <c r="K22" s="68"/>
      <c r="L22" s="68"/>
      <c r="M22" s="69"/>
    </row>
    <row r="23" spans="2:14" ht="15.75" hidden="1" thickBot="1" x14ac:dyDescent="0.3">
      <c r="B23" s="63"/>
      <c r="C23" s="64"/>
      <c r="D23" s="70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D22,"Ĵ","*"),"ĵ","*"),"Ķ","*"),"ķ","*"),"Ĺ","*"),"ĺ","*"),"Ļ","*"),"ļ","*"),"Ł","*"),"ł","*"),"Ľ","*"),"ľ","*"),"Ñ","*"),"ñ","*"),"Ń","*"),"ń","*"),"Ň","*"),"ň","*"),"Ņ","*"),"ņ","*"),"Ö","*"),"ö","*"),"Ò","*"),"ò","*"),"Ó","*"),"ó","*")</f>
        <v/>
      </c>
      <c r="E23" s="68"/>
      <c r="F23" s="68"/>
      <c r="G23" s="68"/>
      <c r="H23" s="68"/>
      <c r="I23" s="68"/>
      <c r="J23" s="68"/>
      <c r="K23" s="68"/>
      <c r="L23" s="68"/>
      <c r="M23" s="69"/>
    </row>
    <row r="24" spans="2:14" ht="15.75" hidden="1" thickBot="1" x14ac:dyDescent="0.3">
      <c r="B24" s="63"/>
      <c r="C24" s="64"/>
      <c r="D24" s="70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D23,"Ô","*"),"ĵ","*"),"ô","*"),"Õ","*"),"õ","*"),"Ő","*"),"ő","*"),"Ø","*"),"ø","*"),"Œ","*"),"œ","*"),"Ŕ","*"),"ŕ","*"),"Ř","*"),"ř","*"),"ẞ","*"),"ß","*"),"Ś","*"),"ś","*"),"Ŝ","*"),"ŝ","*"),"Ş","*"),"ş","*"),"Ș","*"),"ș","*"),"ó","*")</f>
        <v/>
      </c>
      <c r="E24" s="68"/>
      <c r="F24" s="68"/>
      <c r="G24" s="68"/>
      <c r="H24" s="68"/>
      <c r="I24" s="68"/>
      <c r="J24" s="68"/>
      <c r="K24" s="68"/>
      <c r="L24" s="68"/>
      <c r="M24" s="69"/>
    </row>
    <row r="25" spans="2:14" ht="15.75" hidden="1" thickBot="1" x14ac:dyDescent="0.3">
      <c r="B25" s="63"/>
      <c r="C25" s="64"/>
      <c r="D25" s="70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D24,"ť","*"),"Ţ","*"),"ţ","*"),"Þ","*"),"þ","*"),"Ț","*"),"ț","*"),"Ü","*"),"ü","*"),"Ù","*"),"ù","*"),"Ú","*"),"ú","*"),"Û","*"),"û","*"),"Ű","*"),"ű","*"),"Ũ","*"),"ũ","*"),"Ų","*"),"ų","*"),"Ů","*"),"ů","*"),"Ū","*"),"ū","*"),"Ŵ","*"),"ŵ","*")</f>
        <v/>
      </c>
      <c r="E25" s="68"/>
      <c r="F25" s="68"/>
      <c r="G25" s="68"/>
      <c r="H25" s="68"/>
      <c r="I25" s="68"/>
      <c r="J25" s="68"/>
      <c r="K25" s="68"/>
      <c r="L25" s="68"/>
      <c r="M25" s="69"/>
    </row>
    <row r="26" spans="2:14" ht="41.25" hidden="1" customHeight="1" thickBot="1" x14ac:dyDescent="0.3">
      <c r="B26" s="63"/>
      <c r="C26" s="64"/>
      <c r="D26" s="73" t="str">
        <f>SUBSTITUTE(SUBSTITUTE(SUBSTITUTE(SUBSTITUTE(SUBSTITUTE(SUBSTITUTE(SUBSTITUTE(SUBSTITUTE(SUBSTITUTE(SUBSTITUTE(SUBSTITUTE(SUBSTITUTE(SUBSTITUTE(SUBSTITUTE(SUBSTITUTE(SUBSTITUTE(SUBSTITUTE(D25,"Ý","*"),"ý","*"),"Ÿ","*"),"ÿ","*"),"Ŷ","*"),"ŷ","*"),"Ź","*"),"ź","*"),"Ž","*"),"ž","*"),"Ż","*"),"[","*"),"]","*"),"GmbH","*"),"ltd","*"),"S.R.L","*"),"ltd","*")</f>
        <v/>
      </c>
      <c r="E26" s="74"/>
      <c r="F26" s="74"/>
      <c r="G26" s="74"/>
      <c r="H26" s="74"/>
      <c r="I26" s="74"/>
      <c r="J26" s="74"/>
      <c r="K26" s="74"/>
      <c r="L26" s="74"/>
      <c r="M26" s="75"/>
    </row>
    <row r="27" spans="2:14" ht="15.75" hidden="1" thickBot="1" x14ac:dyDescent="0.3">
      <c r="B27" s="63"/>
      <c r="C27" s="64"/>
      <c r="D27" s="58" t="str">
        <f>SUBSTITUTE(SUBSTITUTE(SUBSTITUTE(SUBSTITUTE(SUBSTITUTE(SUBSTITUTE(SUBSTITUTE(SUBSTITUTE(SUBSTITUTE(SUBSTITUTE(SUBSTITUTE(SUBSTITUTE(SUBSTITUTE(D26,"ż","*"),"+","*")," And ","*")," AND ","*")," and ","*"),"ı","*"),"Ī","*"),"Š","*"),"š","*"),"Ť","*"),"/","*"),"\","*"),"*S*R*L*","*")</f>
        <v/>
      </c>
      <c r="E27" s="59"/>
      <c r="F27" s="59"/>
      <c r="G27" s="59"/>
      <c r="H27" s="59"/>
      <c r="I27" s="59"/>
      <c r="J27" s="59"/>
      <c r="K27" s="59"/>
      <c r="L27" s="59"/>
      <c r="M27" s="60"/>
      <c r="N27" s="9" t="s">
        <v>3</v>
      </c>
    </row>
    <row r="28" spans="2:14" ht="15.75" hidden="1" thickBot="1" x14ac:dyDescent="0.3">
      <c r="B28" s="63"/>
      <c r="C28" s="64"/>
      <c r="D28" s="58"/>
      <c r="E28" s="59"/>
      <c r="F28" s="59"/>
      <c r="G28" s="59"/>
      <c r="H28" s="59"/>
      <c r="I28" s="59"/>
      <c r="J28" s="59"/>
      <c r="K28" s="59"/>
      <c r="L28" s="59"/>
      <c r="M28" s="60"/>
    </row>
    <row r="29" spans="2:14" ht="15.75" hidden="1" thickBot="1" x14ac:dyDescent="0.3">
      <c r="B29" s="63"/>
      <c r="C29" s="64"/>
      <c r="D29" s="58"/>
      <c r="E29" s="59"/>
      <c r="F29" s="59"/>
      <c r="G29" s="59"/>
      <c r="H29" s="59"/>
      <c r="I29" s="59"/>
      <c r="J29" s="59"/>
      <c r="K29" s="59"/>
      <c r="L29" s="59"/>
      <c r="M29" s="60"/>
    </row>
    <row r="30" spans="2:14" ht="15.75" hidden="1" thickBot="1" x14ac:dyDescent="0.3">
      <c r="B30" s="63"/>
      <c r="C30" s="64"/>
      <c r="D30" s="58"/>
      <c r="E30" s="59"/>
      <c r="F30" s="59"/>
      <c r="G30" s="59"/>
      <c r="H30" s="59"/>
      <c r="I30" s="59"/>
      <c r="J30" s="59"/>
      <c r="K30" s="59"/>
      <c r="L30" s="59"/>
      <c r="M30" s="60"/>
    </row>
    <row r="31" spans="2:14" hidden="1" x14ac:dyDescent="0.25">
      <c r="B31" s="63"/>
      <c r="C31" s="64"/>
      <c r="D31" s="71" t="s">
        <v>1</v>
      </c>
      <c r="E31" s="72"/>
      <c r="F31" s="72"/>
      <c r="G31" s="72"/>
      <c r="H31" s="72"/>
      <c r="I31" s="72"/>
      <c r="J31" s="72"/>
      <c r="K31" s="72"/>
      <c r="L31" s="72"/>
      <c r="M31" s="72"/>
    </row>
    <row r="32" spans="2:14" hidden="1" x14ac:dyDescent="0.25">
      <c r="B32" s="63"/>
      <c r="C32" s="64"/>
    </row>
    <row r="33" spans="2:9" hidden="1" x14ac:dyDescent="0.25">
      <c r="B33" s="63"/>
      <c r="C33" s="64"/>
      <c r="D33" s="17"/>
      <c r="E33" s="17"/>
      <c r="F33" s="17"/>
      <c r="G33" s="17"/>
      <c r="H33" s="17"/>
      <c r="I33" s="17"/>
    </row>
    <row r="34" spans="2:9" ht="15" hidden="1" customHeight="1" x14ac:dyDescent="0.25">
      <c r="B34" s="63"/>
      <c r="C34" s="64"/>
      <c r="D34" s="17"/>
      <c r="E34" s="18"/>
      <c r="F34" s="18"/>
      <c r="G34" s="18"/>
      <c r="H34" s="18"/>
      <c r="I34" s="18"/>
    </row>
    <row r="35" spans="2:9" hidden="1" x14ac:dyDescent="0.25">
      <c r="B35" s="63"/>
      <c r="C35" s="64"/>
      <c r="D35" s="18"/>
      <c r="E35" s="18"/>
      <c r="F35" s="18"/>
      <c r="G35" s="18"/>
      <c r="H35" s="18"/>
      <c r="I35" s="18"/>
    </row>
    <row r="36" spans="2:9" hidden="1" x14ac:dyDescent="0.25">
      <c r="B36" s="63"/>
      <c r="C36" s="64"/>
      <c r="D36" s="18"/>
      <c r="E36" s="18"/>
      <c r="F36" s="18"/>
      <c r="G36" s="18"/>
      <c r="H36" s="18"/>
      <c r="I36" s="18"/>
    </row>
    <row r="37" spans="2:9" hidden="1" x14ac:dyDescent="0.25">
      <c r="B37" s="63"/>
      <c r="C37" s="64"/>
      <c r="D37" s="18"/>
      <c r="E37" s="18"/>
      <c r="F37" s="18"/>
      <c r="G37" s="18"/>
      <c r="H37" s="18"/>
      <c r="I37" s="18"/>
    </row>
    <row r="38" spans="2:9" ht="15.75" hidden="1" thickBot="1" x14ac:dyDescent="0.3">
      <c r="B38" s="65"/>
      <c r="C38" s="66"/>
      <c r="D38" s="18"/>
      <c r="E38" s="18"/>
      <c r="F38" s="18"/>
      <c r="G38" s="18"/>
      <c r="H38" s="18"/>
      <c r="I38" s="18"/>
    </row>
    <row r="39" spans="2:9" hidden="1" x14ac:dyDescent="0.25">
      <c r="D39" s="18"/>
      <c r="E39" s="18"/>
      <c r="F39" s="18"/>
      <c r="G39" s="18"/>
      <c r="H39" s="18"/>
      <c r="I39" s="18"/>
    </row>
    <row r="40" spans="2:9" hidden="1" x14ac:dyDescent="0.25">
      <c r="D40" s="18"/>
      <c r="E40" s="18"/>
      <c r="F40" s="18"/>
      <c r="G40" s="18"/>
      <c r="H40" s="18"/>
      <c r="I40" s="18"/>
    </row>
    <row r="41" spans="2:9" hidden="1" x14ac:dyDescent="0.25">
      <c r="D41" s="18"/>
      <c r="E41" s="18"/>
      <c r="F41" s="18"/>
      <c r="G41" s="18"/>
      <c r="H41" s="18"/>
      <c r="I41" s="18"/>
    </row>
    <row r="42" spans="2:9" hidden="1" x14ac:dyDescent="0.25">
      <c r="D42" s="18"/>
      <c r="E42" s="18"/>
      <c r="F42" s="18"/>
      <c r="G42" s="18"/>
      <c r="H42" s="18"/>
      <c r="I42" s="18"/>
    </row>
    <row r="43" spans="2:9" hidden="1" x14ac:dyDescent="0.25">
      <c r="D43" s="18"/>
      <c r="E43" s="18"/>
      <c r="F43" s="18"/>
      <c r="G43" s="18"/>
      <c r="H43" s="18"/>
      <c r="I43" s="18"/>
    </row>
    <row r="44" spans="2:9" hidden="1" x14ac:dyDescent="0.25">
      <c r="D44" s="18"/>
      <c r="E44" s="18"/>
      <c r="F44" s="18"/>
      <c r="G44" s="18"/>
      <c r="H44" s="18"/>
      <c r="I44" s="18"/>
    </row>
    <row r="45" spans="2:9" hidden="1" x14ac:dyDescent="0.25">
      <c r="D45" s="18"/>
      <c r="E45" s="18"/>
      <c r="F45" s="18"/>
      <c r="G45" s="18"/>
      <c r="H45" s="18"/>
      <c r="I45" s="18"/>
    </row>
    <row r="46" spans="2:9" hidden="1" x14ac:dyDescent="0.25">
      <c r="D46" s="18"/>
      <c r="E46" s="18"/>
      <c r="F46" s="18"/>
      <c r="G46" s="18"/>
      <c r="H46" s="18"/>
      <c r="I46" s="18"/>
    </row>
    <row r="47" spans="2:9" hidden="1" x14ac:dyDescent="0.25">
      <c r="D47" s="18"/>
      <c r="E47" s="18"/>
      <c r="F47" s="18"/>
      <c r="G47" s="18"/>
      <c r="H47" s="18"/>
      <c r="I47" s="18"/>
    </row>
    <row r="48" spans="2:9" hidden="1" x14ac:dyDescent="0.25">
      <c r="D48" s="18"/>
      <c r="E48" s="18"/>
      <c r="F48" s="18"/>
      <c r="G48" s="18"/>
      <c r="H48" s="18"/>
      <c r="I48" s="18"/>
    </row>
    <row r="49" spans="4:9" hidden="1" x14ac:dyDescent="0.25">
      <c r="D49" s="18"/>
      <c r="E49" s="18"/>
      <c r="F49" s="18"/>
      <c r="G49" s="18"/>
      <c r="H49" s="18"/>
      <c r="I49" s="18"/>
    </row>
    <row r="50" spans="4:9" hidden="1" x14ac:dyDescent="0.25">
      <c r="D50" s="18"/>
      <c r="E50" s="18"/>
      <c r="F50" s="18"/>
      <c r="G50" s="18"/>
      <c r="H50" s="18"/>
      <c r="I50" s="18"/>
    </row>
    <row r="51" spans="4:9" hidden="1" x14ac:dyDescent="0.25">
      <c r="D51" s="17"/>
      <c r="E51" s="17"/>
      <c r="F51" s="17"/>
      <c r="G51" s="17"/>
      <c r="H51" s="17"/>
      <c r="I51" s="17"/>
    </row>
  </sheetData>
  <sheetProtection algorithmName="SHA-512" hashValue="mbVg5U2rlw3e0g9a0fpKZ8CDj6uZYzMbxYDMJwegoUNI8tzVNN4+uApzeJeLKZ5FYSvKZcbPb7LUazekau15sA==" saltValue="r4tZYWxnDDvGfEtnLC6VbA==" spinCount="100000" sheet="1" objects="1" selectLockedCells="1"/>
  <mergeCells count="17">
    <mergeCell ref="D26:M26"/>
    <mergeCell ref="D27:M27"/>
    <mergeCell ref="D28:M28"/>
    <mergeCell ref="D29:M29"/>
    <mergeCell ref="D30:M30"/>
    <mergeCell ref="A4:B4"/>
    <mergeCell ref="A5:D5"/>
    <mergeCell ref="A6:B6"/>
    <mergeCell ref="A7:E9"/>
    <mergeCell ref="B20:C38"/>
    <mergeCell ref="D20:M20"/>
    <mergeCell ref="D21:M21"/>
    <mergeCell ref="D22:M22"/>
    <mergeCell ref="D23:M23"/>
    <mergeCell ref="D24:M24"/>
    <mergeCell ref="D31:M31"/>
    <mergeCell ref="D25:M25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EE8D7A"/>
  </sheetPr>
  <dimension ref="A1:N51"/>
  <sheetViews>
    <sheetView showRowColHeaders="0" zoomScale="85" zoomScaleNormal="85" workbookViewId="0">
      <selection activeCell="C4" sqref="C4"/>
    </sheetView>
  </sheetViews>
  <sheetFormatPr defaultColWidth="0" defaultRowHeight="15" zeroHeight="1" x14ac:dyDescent="0.25"/>
  <cols>
    <col min="1" max="2" width="8.7109375" style="9" customWidth="1"/>
    <col min="3" max="3" width="75.7109375" style="9" customWidth="1"/>
    <col min="4" max="5" width="8.7109375" style="9" customWidth="1"/>
    <col min="6" max="6" width="9.140625" style="9" hidden="1" customWidth="1"/>
    <col min="7" max="7" width="21" style="9" hidden="1" customWidth="1"/>
    <col min="8" max="11" width="9.140625" style="9" hidden="1" customWidth="1"/>
    <col min="12" max="12" width="19.42578125" style="9" hidden="1" customWidth="1"/>
    <col min="13" max="13" width="50.140625" style="9" hidden="1" customWidth="1"/>
    <col min="14" max="16384" width="9.140625" style="9" hidden="1"/>
  </cols>
  <sheetData>
    <row r="1" spans="1:13" x14ac:dyDescent="0.25">
      <c r="C1" s="10"/>
    </row>
    <row r="2" spans="1:13" x14ac:dyDescent="0.25">
      <c r="D2" s="11"/>
      <c r="E2" s="11"/>
      <c r="G2" s="19" t="str">
        <f>SUBSTITUTE(C4,"%","%")</f>
        <v/>
      </c>
      <c r="L2" s="15" t="str">
        <f>SUBSTITUTE(G3,"%","%")</f>
        <v/>
      </c>
      <c r="M2" s="15"/>
    </row>
    <row r="3" spans="1:13" ht="15.75" thickBot="1" x14ac:dyDescent="0.3">
      <c r="G3" s="20" t="str">
        <f>SUBSTITUTE(G2,"%","%")</f>
        <v/>
      </c>
      <c r="L3" s="15" t="str">
        <f>SUBSTITUTE(SUBSTITUTE(L2,"%","%"),"%","%")</f>
        <v/>
      </c>
      <c r="M3" s="15"/>
    </row>
    <row r="4" spans="1:13" ht="24.95" customHeight="1" thickBot="1" x14ac:dyDescent="0.3">
      <c r="A4" s="34"/>
      <c r="B4" s="35"/>
      <c r="C4" s="13"/>
      <c r="L4" s="15" t="str">
        <f>SUBSTITUTE(L3,"%","%")</f>
        <v/>
      </c>
      <c r="M4" s="15"/>
    </row>
    <row r="5" spans="1:13" ht="15.75" thickBot="1" x14ac:dyDescent="0.3">
      <c r="A5" s="34"/>
      <c r="B5" s="34"/>
      <c r="C5" s="34"/>
      <c r="D5" s="34"/>
      <c r="G5" s="9" t="str">
        <f>"%"&amp;SUBSTITUTE(D27,"%","%")&amp;"%"</f>
        <v>%%</v>
      </c>
      <c r="L5" s="15" t="str">
        <f>SUBSTITUTE(SUBSTITUTE(L4,"%","%"),"%","%")</f>
        <v/>
      </c>
      <c r="M5" s="15"/>
    </row>
    <row r="6" spans="1:13" ht="24.95" customHeight="1" thickBot="1" x14ac:dyDescent="0.3">
      <c r="A6" s="36" t="s">
        <v>0</v>
      </c>
      <c r="B6" s="37"/>
      <c r="C6" s="14" t="str">
        <f>C14</f>
        <v>%</v>
      </c>
      <c r="L6" s="15" t="str">
        <f>SUBSTITUTE(L5,"%","%")</f>
        <v/>
      </c>
      <c r="M6" s="15"/>
    </row>
    <row r="7" spans="1:13" x14ac:dyDescent="0.25">
      <c r="A7" s="38"/>
      <c r="B7" s="38"/>
      <c r="C7" s="38"/>
      <c r="D7" s="38"/>
      <c r="E7" s="38"/>
      <c r="G7" s="21" t="str">
        <f>SUBSTITUTE(SUBSTITUTE(SUBSTITUTE(SUBSTITUTE(SUBSTITUTE(G5,"%","%"),"%","%"),"%","%"),"%","%"),"%%","%")</f>
        <v>%</v>
      </c>
      <c r="L7" s="15" t="str">
        <f>SUBSTITUTE(SUBSTITUTE(SUBSTITUTE(L6,"%","%"),"%","%"),"%","%")</f>
        <v/>
      </c>
      <c r="M7" s="15"/>
    </row>
    <row r="8" spans="1:13" x14ac:dyDescent="0.25">
      <c r="A8" s="38"/>
      <c r="B8" s="38"/>
      <c r="C8" s="38"/>
      <c r="D8" s="38"/>
      <c r="E8" s="38"/>
      <c r="L8" s="15" t="str">
        <f>SUBSTITUTE(SUBSTITUTE(L7,"%","%"),"%","%")</f>
        <v/>
      </c>
      <c r="M8" s="15"/>
    </row>
    <row r="9" spans="1:13" x14ac:dyDescent="0.25">
      <c r="A9" s="39"/>
      <c r="B9" s="39"/>
      <c r="C9" s="39"/>
      <c r="D9" s="39"/>
      <c r="E9" s="39"/>
      <c r="L9" s="15" t="str">
        <f>SUBSTITUTE(SUBSTITUTE(SUBSTITUTE(SUBSTITUTE(SUBSTITUTE(L8,"%","%"),"%","%"),"%","%"),"%","%"),"%","%")</f>
        <v/>
      </c>
      <c r="M9" s="15"/>
    </row>
    <row r="10" spans="1:13" hidden="1" x14ac:dyDescent="0.25">
      <c r="L10" s="15" t="str">
        <f>SUBSTITUTE(SUBSTITUTE(SUBSTITUTE(SUBSTITUTE(SUBSTITUTE(SUBSTITUTE(SUBSTITUTE(SUBSTITUTE(SUBSTITUTE(SUBSTITUTE(SUBSTITUTE(SUBSTITUTE(SUBSTITUTE(SUBSTITUTE(L9,"%","%"),"%","%"),"%","%"),"%","%"),"%","%"),"%","%"),"%","%"),"%","%"),"%","%"),"%","%"),"%","%"),"%","%"),"%","%"),"%","%")</f>
        <v/>
      </c>
      <c r="M10" s="15"/>
    </row>
    <row r="11" spans="1:13" hidden="1" x14ac:dyDescent="0.25"/>
    <row r="12" spans="1:13" hidden="1" x14ac:dyDescent="0.25"/>
    <row r="13" spans="1:13" hidden="1" x14ac:dyDescent="0.25"/>
    <row r="14" spans="1:13" hidden="1" x14ac:dyDescent="0.25">
      <c r="C14" s="9" t="str">
        <f>SUBSTITUTE(C15,"%","%")</f>
        <v>%</v>
      </c>
    </row>
    <row r="15" spans="1:13" hidden="1" x14ac:dyDescent="0.25">
      <c r="C15" s="19" t="str">
        <f>SUBSTITUTE(G7,"%","%")</f>
        <v>%</v>
      </c>
    </row>
    <row r="16" spans="1:13" hidden="1" x14ac:dyDescent="0.25"/>
    <row r="17" spans="2:14" hidden="1" x14ac:dyDescent="0.25"/>
    <row r="18" spans="2:14" hidden="1" x14ac:dyDescent="0.25"/>
    <row r="19" spans="2:14" ht="15.75" hidden="1" thickBot="1" x14ac:dyDescent="0.3"/>
    <row r="20" spans="2:14" ht="15.75" hidden="1" thickBot="1" x14ac:dyDescent="0.3">
      <c r="B20" s="61" t="s">
        <v>2</v>
      </c>
      <c r="C20" s="62"/>
      <c r="D20" s="22" t="str">
        <f>SUBSTITUTE(SUBSTITUTE(SUBSTITUTE(SUBSTITUTE(SUBSTITUTE(SUBSTITUTE(SUBSTITUTE(SUBSTITUTE(SUBSTITUTE(SUBSTITUTE(SUBSTITUTE(SUBSTITUTE(SUBSTITUTE(SUBSTITUTE(SUBSTITUTE(SUBSTITUTE(SUBSTITUTE(SUBSTITUTE(SUBSTITUTE(SUBSTITUTE(SUBSTITUTE(SUBSTITUTE(SUBSTITUTE(L10,"%","%"),"%","%"),"%","%"),"%","%"),"%","%"),"%","%"),"%","%"),"%","%"),"%","%"),"%","%"),"%","%"),"%","%"),"%","%"),"%","%"),"%","%"),"%","%"),"%","%"),"%","%"),"%","%"),"%","%"),"%","%"),"%","%"),"%","%")</f>
        <v/>
      </c>
      <c r="E20" s="23"/>
      <c r="F20" s="23"/>
      <c r="G20" s="23"/>
      <c r="H20" s="23"/>
      <c r="I20" s="23"/>
      <c r="J20" s="23"/>
      <c r="K20" s="23"/>
      <c r="L20" s="23"/>
      <c r="M20" s="24"/>
    </row>
    <row r="21" spans="2:14" ht="15.75" hidden="1" thickBot="1" x14ac:dyDescent="0.3">
      <c r="B21" s="63"/>
      <c r="C21" s="64"/>
      <c r="D21" s="25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D20,"%","%"),"%","%"),"%","%"),"%","%"),"%","%"),"%","%"),"%","%"),"%","%"),"%","%"),"%","%"),"%","%"),"%","%"),"%","%"),"%","%"),"%","%"),"%","%"),"%","%"),"%","%"),"%","%"),"%","%"),"%","%"),"%","%"),"%","%"),"%","%")</f>
        <v/>
      </c>
      <c r="E21" s="23"/>
      <c r="F21" s="23"/>
      <c r="G21" s="23"/>
      <c r="H21" s="23"/>
      <c r="I21" s="23"/>
      <c r="J21" s="23"/>
      <c r="K21" s="23"/>
      <c r="L21" s="23"/>
      <c r="M21" s="24"/>
    </row>
    <row r="22" spans="2:14" ht="15.75" hidden="1" thickBot="1" x14ac:dyDescent="0.3">
      <c r="B22" s="63"/>
      <c r="C22" s="64"/>
      <c r="D22" s="26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D21,"%","%"),"%","%"),"%","%"),"%","%"),"%","%"),"%","%"),"%","%"),"%","%"),"%","%"),"%","%"),"%","%"),"%","%"),"%","%"),"%","%"),"%","%"),"%","%"),"%","%"),"%","%"),"%","%"),"%","%"),"%","%"),"%","%"),"%","%"),"%","%"),"%","%"),"%","%")</f>
        <v/>
      </c>
      <c r="E22" s="23"/>
      <c r="F22" s="23"/>
      <c r="G22" s="23"/>
      <c r="H22" s="23"/>
      <c r="I22" s="23"/>
      <c r="J22" s="23"/>
      <c r="K22" s="23"/>
      <c r="L22" s="23"/>
      <c r="M22" s="24"/>
    </row>
    <row r="23" spans="2:14" ht="15.75" hidden="1" thickBot="1" x14ac:dyDescent="0.3">
      <c r="B23" s="63"/>
      <c r="C23" s="64"/>
      <c r="D23" s="26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D22,"%","%"),"%","%"),"%","%"),"%","%"),"%","%"),"%","%"),"%","%"),"%","%"),"%","%"),"%","%"),"%","%"),"%","%"),"%","%"),"%","%"),"%","%"),"%","%"),"%","%"),"%","%"),"%","%"),"%","%"),"%","%"),"%","%"),"%","%"),"%","%"),"%","%"),"%","%")</f>
        <v/>
      </c>
      <c r="E23" s="23"/>
      <c r="F23" s="23"/>
      <c r="G23" s="23"/>
      <c r="H23" s="23"/>
      <c r="I23" s="23"/>
      <c r="J23" s="23"/>
      <c r="K23" s="23"/>
      <c r="L23" s="23"/>
      <c r="M23" s="24"/>
    </row>
    <row r="24" spans="2:14" ht="15.75" hidden="1" thickBot="1" x14ac:dyDescent="0.3">
      <c r="B24" s="63"/>
      <c r="C24" s="64"/>
      <c r="D24" s="26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D23,"%","%"),"%","%"),"%","%"),"%","%"),"%","%"),"%","%"),"%","%"),"%","%"),"%","%"),"%","%"),"%","%"),"%","%"),"%","%"),"%","%"),"%","%"),"%","%"),"%","%"),"%","%"),"%","%"),"%","%"),"%","%"),"%","%"),"%","%"),"%","%"),"%","%"),"%","%")</f>
        <v/>
      </c>
      <c r="E24" s="23"/>
      <c r="F24" s="23"/>
      <c r="G24" s="23"/>
      <c r="H24" s="23"/>
      <c r="I24" s="23"/>
      <c r="J24" s="23"/>
      <c r="K24" s="23"/>
      <c r="L24" s="23"/>
      <c r="M24" s="24"/>
    </row>
    <row r="25" spans="2:14" ht="15.75" hidden="1" thickBot="1" x14ac:dyDescent="0.3">
      <c r="B25" s="63"/>
      <c r="C25" s="64"/>
      <c r="D25" s="26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D24,"%","%"),"%","%"),"%","%"),"%","%"),"%","%"),"%","%"),"%","%"),"%","%"),"%","%"),"%","%"),"%","%"),"%","%"),"%","%"),"%","%"),"%","%"),"%","%"),"%","%"),"%","%"),"%","%"),"%","%"),"%","%"),"%","%"),"%","%"),"%","%"),"%","%"),"%","%"),"%","%")</f>
        <v/>
      </c>
      <c r="E25" s="23"/>
      <c r="F25" s="23"/>
      <c r="G25" s="23"/>
      <c r="H25" s="23"/>
      <c r="I25" s="23"/>
      <c r="J25" s="23"/>
      <c r="K25" s="23"/>
      <c r="L25" s="23"/>
      <c r="M25" s="24"/>
    </row>
    <row r="26" spans="2:14" ht="41.25" hidden="1" customHeight="1" thickBot="1" x14ac:dyDescent="0.3">
      <c r="B26" s="63"/>
      <c r="C26" s="64"/>
      <c r="D26" s="27" t="str">
        <f>SUBSTITUTE(SUBSTITUTE(SUBSTITUTE(SUBSTITUTE(SUBSTITUTE(SUBSTITUTE(SUBSTITUTE(SUBSTITUTE(SUBSTITUTE(SUBSTITUTE(SUBSTITUTE(SUBSTITUTE(SUBSTITUTE(SUBSTITUTE(SUBSTITUTE(SUBSTITUTE(SUBSTITUTE(D25,"%","%"),"%","%"),"%","%"),"%","%"),"%","%"),"%","%"),"%","%"),"%","%"),"%","%"),"%","%"),"%","%"),"%","%"),"%","%"),"%","%"),"%","%"),"%","%"),"%","%")</f>
        <v/>
      </c>
      <c r="E26" s="28"/>
      <c r="F26" s="28"/>
      <c r="G26" s="28"/>
      <c r="H26" s="28"/>
      <c r="I26" s="28"/>
      <c r="J26" s="28"/>
      <c r="K26" s="28"/>
      <c r="L26" s="28"/>
      <c r="M26" s="29"/>
    </row>
    <row r="27" spans="2:14" ht="15.75" hidden="1" thickBot="1" x14ac:dyDescent="0.3">
      <c r="B27" s="63"/>
      <c r="C27" s="64"/>
      <c r="D27" s="30" t="str">
        <f>SUBSTITUTE(SUBSTITUTE(SUBSTITUTE(SUBSTITUTE(SUBSTITUTE(SUBSTITUTE(SUBSTITUTE(SUBSTITUTE(SUBSTITUTE(SUBSTITUTE(SUBSTITUTE(SUBSTITUTE(SUBSTITUTE(D26,"%","%"),"%","%"),"%","%"),"%","%"),"%","%"),"%","%"),"%","%"),"%","%"),"%","%"),"%","%"),"%","%"),"%","%"),"%","%")</f>
        <v/>
      </c>
      <c r="E27" s="31"/>
      <c r="F27" s="31"/>
      <c r="G27" s="31"/>
      <c r="H27" s="31"/>
      <c r="I27" s="31"/>
      <c r="J27" s="31"/>
      <c r="K27" s="31"/>
      <c r="L27" s="31"/>
      <c r="M27" s="32"/>
      <c r="N27" s="9" t="s">
        <v>3</v>
      </c>
    </row>
    <row r="28" spans="2:14" ht="15.75" hidden="1" thickBot="1" x14ac:dyDescent="0.3">
      <c r="B28" s="63"/>
      <c r="C28" s="64"/>
      <c r="D28" s="58"/>
      <c r="E28" s="59"/>
      <c r="F28" s="59"/>
      <c r="G28" s="59"/>
      <c r="H28" s="59"/>
      <c r="I28" s="59"/>
      <c r="J28" s="59"/>
      <c r="K28" s="59"/>
      <c r="L28" s="59"/>
      <c r="M28" s="60"/>
    </row>
    <row r="29" spans="2:14" ht="15.75" hidden="1" thickBot="1" x14ac:dyDescent="0.3">
      <c r="B29" s="63"/>
      <c r="C29" s="64"/>
      <c r="D29" s="58"/>
      <c r="E29" s="59"/>
      <c r="F29" s="59"/>
      <c r="G29" s="59"/>
      <c r="H29" s="59"/>
      <c r="I29" s="59"/>
      <c r="J29" s="59"/>
      <c r="K29" s="59"/>
      <c r="L29" s="59"/>
      <c r="M29" s="60"/>
    </row>
    <row r="30" spans="2:14" ht="15.75" hidden="1" thickBot="1" x14ac:dyDescent="0.3">
      <c r="B30" s="63"/>
      <c r="C30" s="64"/>
      <c r="D30" s="58"/>
      <c r="E30" s="59"/>
      <c r="F30" s="59"/>
      <c r="G30" s="59"/>
      <c r="H30" s="59"/>
      <c r="I30" s="59"/>
      <c r="J30" s="59"/>
      <c r="K30" s="59"/>
      <c r="L30" s="59"/>
      <c r="M30" s="60"/>
    </row>
    <row r="31" spans="2:14" hidden="1" x14ac:dyDescent="0.25">
      <c r="B31" s="63"/>
      <c r="C31" s="64"/>
      <c r="D31" s="71" t="s">
        <v>7</v>
      </c>
      <c r="E31" s="72"/>
      <c r="F31" s="72"/>
      <c r="G31" s="72"/>
      <c r="H31" s="72"/>
      <c r="I31" s="72"/>
      <c r="J31" s="72"/>
      <c r="K31" s="72"/>
      <c r="L31" s="72"/>
      <c r="M31" s="72"/>
    </row>
    <row r="32" spans="2:14" hidden="1" x14ac:dyDescent="0.25">
      <c r="B32" s="63"/>
      <c r="C32" s="64"/>
    </row>
    <row r="33" spans="2:9" hidden="1" x14ac:dyDescent="0.25">
      <c r="B33" s="63"/>
      <c r="C33" s="64"/>
      <c r="D33" s="17"/>
      <c r="E33" s="17"/>
      <c r="F33" s="17"/>
      <c r="G33" s="17"/>
      <c r="H33" s="17"/>
      <c r="I33" s="17"/>
    </row>
    <row r="34" spans="2:9" ht="15" hidden="1" customHeight="1" x14ac:dyDescent="0.25">
      <c r="B34" s="63"/>
      <c r="C34" s="64"/>
      <c r="D34" s="17"/>
      <c r="E34" s="18"/>
      <c r="F34" s="18"/>
      <c r="G34" s="18"/>
      <c r="H34" s="18"/>
      <c r="I34" s="18"/>
    </row>
    <row r="35" spans="2:9" hidden="1" x14ac:dyDescent="0.25">
      <c r="B35" s="63"/>
      <c r="C35" s="64"/>
      <c r="D35" s="18"/>
      <c r="E35" s="18"/>
      <c r="F35" s="18"/>
      <c r="G35" s="18"/>
      <c r="H35" s="18"/>
      <c r="I35" s="18"/>
    </row>
    <row r="36" spans="2:9" hidden="1" x14ac:dyDescent="0.25">
      <c r="B36" s="63"/>
      <c r="C36" s="64"/>
      <c r="D36" s="18"/>
      <c r="E36" s="18"/>
      <c r="F36" s="18"/>
      <c r="G36" s="18"/>
      <c r="H36" s="18"/>
      <c r="I36" s="18"/>
    </row>
    <row r="37" spans="2:9" hidden="1" x14ac:dyDescent="0.25">
      <c r="B37" s="63"/>
      <c r="C37" s="64"/>
      <c r="D37" s="18"/>
      <c r="E37" s="18"/>
      <c r="F37" s="18"/>
      <c r="G37" s="18"/>
      <c r="H37" s="18"/>
      <c r="I37" s="18"/>
    </row>
    <row r="38" spans="2:9" ht="15.75" hidden="1" thickBot="1" x14ac:dyDescent="0.3">
      <c r="B38" s="65"/>
      <c r="C38" s="66"/>
      <c r="D38" s="18"/>
      <c r="E38" s="18"/>
      <c r="F38" s="18"/>
      <c r="G38" s="18"/>
      <c r="H38" s="18"/>
      <c r="I38" s="18"/>
    </row>
    <row r="39" spans="2:9" hidden="1" x14ac:dyDescent="0.25">
      <c r="D39" s="18"/>
      <c r="E39" s="18"/>
      <c r="F39" s="18"/>
      <c r="G39" s="18"/>
      <c r="H39" s="18"/>
      <c r="I39" s="18"/>
    </row>
    <row r="40" spans="2:9" hidden="1" x14ac:dyDescent="0.25">
      <c r="D40" s="18"/>
      <c r="E40" s="18"/>
      <c r="F40" s="18"/>
      <c r="G40" s="18"/>
      <c r="H40" s="18"/>
      <c r="I40" s="18"/>
    </row>
    <row r="41" spans="2:9" hidden="1" x14ac:dyDescent="0.25">
      <c r="D41" s="18"/>
      <c r="E41" s="18"/>
      <c r="F41" s="18"/>
      <c r="G41" s="18"/>
      <c r="H41" s="18"/>
      <c r="I41" s="18"/>
    </row>
    <row r="42" spans="2:9" hidden="1" x14ac:dyDescent="0.25">
      <c r="D42" s="18"/>
      <c r="E42" s="18"/>
      <c r="F42" s="18"/>
      <c r="G42" s="18"/>
      <c r="H42" s="18"/>
      <c r="I42" s="18"/>
    </row>
    <row r="43" spans="2:9" hidden="1" x14ac:dyDescent="0.25">
      <c r="D43" s="18"/>
      <c r="E43" s="18"/>
      <c r="F43" s="18"/>
      <c r="G43" s="18"/>
      <c r="H43" s="18"/>
      <c r="I43" s="18"/>
    </row>
    <row r="44" spans="2:9" hidden="1" x14ac:dyDescent="0.25">
      <c r="D44" s="18"/>
      <c r="E44" s="18"/>
      <c r="F44" s="18"/>
      <c r="G44" s="18"/>
      <c r="H44" s="18"/>
      <c r="I44" s="18"/>
    </row>
    <row r="45" spans="2:9" hidden="1" x14ac:dyDescent="0.25">
      <c r="D45" s="18"/>
      <c r="E45" s="18"/>
      <c r="F45" s="18"/>
      <c r="G45" s="18"/>
      <c r="H45" s="18"/>
      <c r="I45" s="18"/>
    </row>
    <row r="46" spans="2:9" hidden="1" x14ac:dyDescent="0.25">
      <c r="D46" s="18"/>
      <c r="E46" s="18"/>
      <c r="F46" s="18"/>
      <c r="G46" s="18"/>
      <c r="H46" s="18"/>
      <c r="I46" s="18"/>
    </row>
    <row r="47" spans="2:9" hidden="1" x14ac:dyDescent="0.25">
      <c r="D47" s="18"/>
      <c r="E47" s="18"/>
      <c r="F47" s="18"/>
      <c r="G47" s="18"/>
      <c r="H47" s="18"/>
      <c r="I47" s="18"/>
    </row>
    <row r="48" spans="2:9" hidden="1" x14ac:dyDescent="0.25">
      <c r="D48" s="18"/>
      <c r="E48" s="18"/>
      <c r="F48" s="18"/>
      <c r="G48" s="18"/>
      <c r="H48" s="18"/>
      <c r="I48" s="18"/>
    </row>
    <row r="49" spans="4:9" hidden="1" x14ac:dyDescent="0.25">
      <c r="D49" s="18"/>
      <c r="E49" s="18"/>
      <c r="F49" s="18"/>
      <c r="G49" s="18"/>
      <c r="H49" s="18"/>
      <c r="I49" s="18"/>
    </row>
    <row r="50" spans="4:9" hidden="1" x14ac:dyDescent="0.25">
      <c r="D50" s="18"/>
      <c r="E50" s="18"/>
      <c r="F50" s="18"/>
      <c r="G50" s="18"/>
      <c r="H50" s="18"/>
      <c r="I50" s="18"/>
    </row>
    <row r="51" spans="4:9" hidden="1" x14ac:dyDescent="0.25">
      <c r="D51" s="17"/>
      <c r="E51" s="17"/>
      <c r="F51" s="17"/>
      <c r="G51" s="17"/>
      <c r="H51" s="17"/>
      <c r="I51" s="17"/>
    </row>
  </sheetData>
  <sheetProtection algorithmName="SHA-512" hashValue="NM4wzYnOG0k9ElIZFmQ96vahqy8wdPAOwiVPpmGYEpCCqARP5Uk16YrlPaDlO2WUJ5YeXimywj+vagLA0lrzaQ==" saltValue="7WDxENuq+AajjB5y5ef1sA==" spinCount="100000" sheet="1" objects="1" selectLockedCells="1"/>
  <mergeCells count="9">
    <mergeCell ref="D30:M30"/>
    <mergeCell ref="D31:M31"/>
    <mergeCell ref="B20:C38"/>
    <mergeCell ref="A6:B6"/>
    <mergeCell ref="A4:B4"/>
    <mergeCell ref="A5:D5"/>
    <mergeCell ref="A7:E9"/>
    <mergeCell ref="D28:M28"/>
    <mergeCell ref="D29:M2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 tint="-0.249977111117893"/>
  </sheetPr>
  <dimension ref="A1:G29"/>
  <sheetViews>
    <sheetView workbookViewId="0">
      <selection activeCell="E5" sqref="E5"/>
    </sheetView>
  </sheetViews>
  <sheetFormatPr defaultColWidth="0" defaultRowHeight="15" zeroHeight="1" x14ac:dyDescent="0.25"/>
  <cols>
    <col min="1" max="2" width="9.140625" customWidth="1"/>
    <col min="3" max="5" width="10.7109375" customWidth="1"/>
    <col min="6" max="7" width="9.140625" customWidth="1"/>
    <col min="8" max="16384" width="9.140625" hidden="1"/>
  </cols>
  <sheetData>
    <row r="1" spans="1:7" x14ac:dyDescent="0.25">
      <c r="A1" s="1"/>
      <c r="B1" s="1"/>
      <c r="C1" s="1"/>
      <c r="D1" s="1"/>
      <c r="E1" s="1"/>
      <c r="F1" s="1"/>
      <c r="G1" s="1"/>
    </row>
    <row r="2" spans="1:7" x14ac:dyDescent="0.25">
      <c r="A2" s="1"/>
      <c r="B2" s="1"/>
      <c r="C2" s="1"/>
      <c r="D2" s="1"/>
      <c r="E2" s="1"/>
      <c r="F2" s="1"/>
      <c r="G2" s="1"/>
    </row>
    <row r="3" spans="1:7" x14ac:dyDescent="0.25">
      <c r="A3" s="1"/>
      <c r="B3" s="1"/>
      <c r="C3" s="1"/>
      <c r="D3" s="1"/>
      <c r="E3" s="1"/>
      <c r="F3" s="1"/>
      <c r="G3" s="1"/>
    </row>
    <row r="4" spans="1:7" x14ac:dyDescent="0.25">
      <c r="A4" s="1"/>
      <c r="B4" s="1"/>
      <c r="C4" s="1"/>
      <c r="D4" s="1"/>
      <c r="E4" s="1"/>
      <c r="F4" s="1"/>
      <c r="G4" s="1"/>
    </row>
    <row r="5" spans="1:7" x14ac:dyDescent="0.25">
      <c r="A5" s="1"/>
      <c r="B5" s="1"/>
      <c r="C5" s="1"/>
      <c r="D5" s="1"/>
      <c r="E5" s="1"/>
      <c r="F5" s="1"/>
      <c r="G5" s="1"/>
    </row>
    <row r="6" spans="1:7" x14ac:dyDescent="0.25">
      <c r="A6" s="76" t="s">
        <v>4</v>
      </c>
      <c r="B6" s="76"/>
      <c r="C6" s="76"/>
      <c r="D6" s="76"/>
      <c r="E6" s="1"/>
      <c r="F6" s="1"/>
      <c r="G6" s="1"/>
    </row>
    <row r="7" spans="1:7" ht="14.25" customHeight="1" x14ac:dyDescent="0.25">
      <c r="A7" s="1"/>
      <c r="B7" s="1"/>
      <c r="C7" s="1"/>
      <c r="D7" s="1"/>
      <c r="E7" s="1"/>
      <c r="F7" s="1"/>
      <c r="G7" s="1"/>
    </row>
    <row r="8" spans="1:7" ht="14.25" customHeight="1" x14ac:dyDescent="0.25">
      <c r="A8" s="77" t="s">
        <v>5</v>
      </c>
      <c r="B8" s="77"/>
      <c r="C8" s="77"/>
      <c r="D8" s="77"/>
      <c r="E8" s="77"/>
      <c r="F8" s="77"/>
      <c r="G8" s="77"/>
    </row>
    <row r="9" spans="1:7" ht="14.25" customHeight="1" x14ac:dyDescent="0.25">
      <c r="A9" s="77"/>
      <c r="B9" s="77"/>
      <c r="C9" s="77"/>
      <c r="D9" s="77"/>
      <c r="E9" s="77"/>
      <c r="F9" s="77"/>
      <c r="G9" s="77"/>
    </row>
    <row r="10" spans="1:7" x14ac:dyDescent="0.25">
      <c r="A10" s="77"/>
      <c r="B10" s="77"/>
      <c r="C10" s="77"/>
      <c r="D10" s="77"/>
      <c r="E10" s="77"/>
      <c r="F10" s="77"/>
      <c r="G10" s="77"/>
    </row>
    <row r="11" spans="1:7" ht="15" customHeight="1" x14ac:dyDescent="0.25">
      <c r="A11" s="77"/>
      <c r="B11" s="77"/>
      <c r="C11" s="77"/>
      <c r="D11" s="77"/>
      <c r="E11" s="77"/>
      <c r="F11" s="77"/>
      <c r="G11" s="77"/>
    </row>
    <row r="12" spans="1:7" x14ac:dyDescent="0.25">
      <c r="A12" s="77"/>
      <c r="B12" s="77"/>
      <c r="C12" s="77"/>
      <c r="D12" s="77"/>
      <c r="E12" s="77"/>
      <c r="F12" s="77"/>
      <c r="G12" s="77"/>
    </row>
    <row r="13" spans="1:7" x14ac:dyDescent="0.25">
      <c r="A13" s="77"/>
      <c r="B13" s="77"/>
      <c r="C13" s="77"/>
      <c r="D13" s="77"/>
      <c r="E13" s="77"/>
      <c r="F13" s="77"/>
      <c r="G13" s="77"/>
    </row>
    <row r="14" spans="1:7" x14ac:dyDescent="0.25">
      <c r="A14" s="77"/>
      <c r="B14" s="77"/>
      <c r="C14" s="77"/>
      <c r="D14" s="77"/>
      <c r="E14" s="77"/>
      <c r="F14" s="77"/>
      <c r="G14" s="77"/>
    </row>
    <row r="15" spans="1:7" x14ac:dyDescent="0.25">
      <c r="A15" s="77"/>
      <c r="B15" s="77"/>
      <c r="C15" s="77"/>
      <c r="D15" s="77"/>
      <c r="E15" s="77"/>
      <c r="F15" s="77"/>
      <c r="G15" s="77"/>
    </row>
    <row r="16" spans="1:7" x14ac:dyDescent="0.25">
      <c r="A16" s="77"/>
      <c r="B16" s="77"/>
      <c r="C16" s="77"/>
      <c r="D16" s="77"/>
      <c r="E16" s="77"/>
      <c r="F16" s="77"/>
      <c r="G16" s="77"/>
    </row>
    <row r="17" spans="1:7" x14ac:dyDescent="0.25">
      <c r="A17" s="77"/>
      <c r="B17" s="77"/>
      <c r="C17" s="77"/>
      <c r="D17" s="77"/>
      <c r="E17" s="77"/>
      <c r="F17" s="77"/>
      <c r="G17" s="77"/>
    </row>
    <row r="18" spans="1:7" x14ac:dyDescent="0.25">
      <c r="A18" s="77"/>
      <c r="B18" s="77"/>
      <c r="C18" s="77"/>
      <c r="D18" s="77"/>
      <c r="E18" s="77"/>
      <c r="F18" s="77"/>
      <c r="G18" s="77"/>
    </row>
    <row r="19" spans="1:7" x14ac:dyDescent="0.25">
      <c r="A19" s="77"/>
      <c r="B19" s="77"/>
      <c r="C19" s="77"/>
      <c r="D19" s="77"/>
      <c r="E19" s="77"/>
      <c r="F19" s="77"/>
      <c r="G19" s="77"/>
    </row>
    <row r="20" spans="1:7" x14ac:dyDescent="0.25">
      <c r="A20" s="77"/>
      <c r="B20" s="77"/>
      <c r="C20" s="77"/>
      <c r="D20" s="77"/>
      <c r="E20" s="77"/>
      <c r="F20" s="77"/>
      <c r="G20" s="77"/>
    </row>
    <row r="21" spans="1:7" x14ac:dyDescent="0.25">
      <c r="A21" s="77"/>
      <c r="B21" s="77"/>
      <c r="C21" s="77"/>
      <c r="D21" s="77"/>
      <c r="E21" s="77"/>
      <c r="F21" s="77"/>
      <c r="G21" s="77"/>
    </row>
    <row r="22" spans="1:7" x14ac:dyDescent="0.25">
      <c r="A22" s="77"/>
      <c r="B22" s="77"/>
      <c r="C22" s="77"/>
      <c r="D22" s="77"/>
      <c r="E22" s="77"/>
      <c r="F22" s="77"/>
      <c r="G22" s="77"/>
    </row>
    <row r="23" spans="1:7" x14ac:dyDescent="0.25">
      <c r="A23" s="77"/>
      <c r="B23" s="77"/>
      <c r="C23" s="77"/>
      <c r="D23" s="77"/>
      <c r="E23" s="77"/>
      <c r="F23" s="77"/>
      <c r="G23" s="77"/>
    </row>
    <row r="24" spans="1:7" x14ac:dyDescent="0.25">
      <c r="A24" s="77"/>
      <c r="B24" s="77"/>
      <c r="C24" s="77"/>
      <c r="D24" s="77"/>
      <c r="E24" s="77"/>
      <c r="F24" s="77"/>
      <c r="G24" s="77"/>
    </row>
    <row r="25" spans="1:7" x14ac:dyDescent="0.25">
      <c r="A25" s="77"/>
      <c r="B25" s="77"/>
      <c r="C25" s="77"/>
      <c r="D25" s="77"/>
      <c r="E25" s="77"/>
      <c r="F25" s="77"/>
      <c r="G25" s="77"/>
    </row>
    <row r="26" spans="1:7" x14ac:dyDescent="0.25">
      <c r="A26" s="77"/>
      <c r="B26" s="77"/>
      <c r="C26" s="77"/>
      <c r="D26" s="77"/>
      <c r="E26" s="77"/>
      <c r="F26" s="77"/>
      <c r="G26" s="77"/>
    </row>
    <row r="27" spans="1:7" x14ac:dyDescent="0.25">
      <c r="A27" s="77"/>
      <c r="B27" s="77"/>
      <c r="C27" s="77"/>
      <c r="D27" s="77"/>
      <c r="E27" s="77"/>
      <c r="F27" s="77"/>
      <c r="G27" s="77"/>
    </row>
    <row r="28" spans="1:7" x14ac:dyDescent="0.25">
      <c r="A28" s="77"/>
      <c r="B28" s="77"/>
      <c r="C28" s="77"/>
      <c r="D28" s="77"/>
      <c r="E28" s="77"/>
      <c r="F28" s="77"/>
      <c r="G28" s="77"/>
    </row>
    <row r="29" spans="1:7" x14ac:dyDescent="0.25">
      <c r="A29" s="77"/>
      <c r="B29" s="77"/>
      <c r="C29" s="77"/>
      <c r="D29" s="77"/>
      <c r="E29" s="77"/>
      <c r="F29" s="77"/>
      <c r="G29" s="77"/>
    </row>
  </sheetData>
  <sheetProtection selectLockedCells="1"/>
  <mergeCells count="2">
    <mergeCell ref="A6:D6"/>
    <mergeCell ref="A8:G2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ack_tab">
                <anchor moveWithCells="1" sizeWithCells="1">
                  <from>
                    <xdr:col>0</xdr:col>
                    <xdr:colOff>0</xdr:colOff>
                    <xdr:row>27</xdr:row>
                    <xdr:rowOff>180975</xdr:rowOff>
                  </from>
                  <to>
                    <xdr:col>6</xdr:col>
                    <xdr:colOff>590550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FF"/>
  </sheetPr>
  <dimension ref="A1:E21"/>
  <sheetViews>
    <sheetView workbookViewId="0"/>
  </sheetViews>
  <sheetFormatPr defaultColWidth="0" defaultRowHeight="15" zeroHeight="1" x14ac:dyDescent="0.25"/>
  <cols>
    <col min="1" max="5" width="9.140625" customWidth="1"/>
    <col min="6" max="16384" width="9.140625" hidden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x14ac:dyDescent="0.25">
      <c r="A5" s="1"/>
      <c r="B5" s="1"/>
      <c r="C5" s="1"/>
      <c r="D5" s="1"/>
      <c r="E5" s="1"/>
    </row>
    <row r="6" spans="1:5" x14ac:dyDescent="0.25">
      <c r="A6" s="1"/>
      <c r="B6" s="1"/>
      <c r="C6" s="1"/>
      <c r="D6" s="1"/>
      <c r="E6" s="1"/>
    </row>
    <row r="7" spans="1:5" x14ac:dyDescent="0.25">
      <c r="A7" s="1"/>
      <c r="B7" s="1"/>
      <c r="C7" s="1"/>
      <c r="D7" s="1"/>
      <c r="E7" s="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1"/>
      <c r="B10" s="1"/>
      <c r="C10" s="1"/>
      <c r="D10" s="1"/>
      <c r="E10" s="1"/>
    </row>
    <row r="11" spans="1:5" x14ac:dyDescent="0.25">
      <c r="A11" s="1"/>
      <c r="B11" s="1"/>
      <c r="C11" s="1"/>
      <c r="D11" s="1"/>
      <c r="E11" s="1"/>
    </row>
    <row r="12" spans="1:5" x14ac:dyDescent="0.25">
      <c r="A12" s="1"/>
      <c r="B12" s="1"/>
      <c r="C12" s="1"/>
      <c r="D12" s="1"/>
      <c r="E12" s="1"/>
    </row>
    <row r="13" spans="1:5" x14ac:dyDescent="0.25">
      <c r="A13" s="1"/>
      <c r="B13" s="1"/>
      <c r="C13" s="1"/>
      <c r="D13" s="1"/>
      <c r="E13" s="1"/>
    </row>
    <row r="14" spans="1:5" x14ac:dyDescent="0.25">
      <c r="A14" s="1"/>
      <c r="B14" s="1"/>
      <c r="C14" s="1"/>
      <c r="D14" s="1"/>
      <c r="E14" s="1"/>
    </row>
    <row r="15" spans="1:5" x14ac:dyDescent="0.25">
      <c r="A15" s="1"/>
      <c r="B15" s="1"/>
      <c r="C15" s="1"/>
      <c r="D15" s="1"/>
      <c r="E15" s="1"/>
    </row>
    <row r="16" spans="1:5" x14ac:dyDescent="0.25">
      <c r="A16" s="1"/>
      <c r="B16" s="1"/>
      <c r="C16" s="1"/>
      <c r="D16" s="1"/>
      <c r="E16" s="1"/>
    </row>
    <row r="17" spans="1:5" x14ac:dyDescent="0.25">
      <c r="A17" s="1"/>
      <c r="B17" s="1"/>
      <c r="C17" s="1"/>
      <c r="D17" s="1"/>
      <c r="E17" s="1"/>
    </row>
    <row r="18" spans="1:5" x14ac:dyDescent="0.25">
      <c r="A18" s="1"/>
      <c r="B18" s="1"/>
      <c r="C18" s="1"/>
      <c r="D18" s="1"/>
      <c r="E18" s="1"/>
    </row>
    <row r="19" spans="1:5" x14ac:dyDescent="0.25">
      <c r="A19" s="1"/>
      <c r="B19" s="1"/>
      <c r="C19" s="1"/>
      <c r="D19" s="1"/>
      <c r="E19" s="1"/>
    </row>
    <row r="20" spans="1:5" x14ac:dyDescent="0.25">
      <c r="A20" s="1"/>
      <c r="B20" s="1"/>
      <c r="C20" s="1"/>
      <c r="D20" s="1"/>
      <c r="E20" s="1"/>
    </row>
    <row r="21" spans="1:5" hidden="1" x14ac:dyDescent="0.25">
      <c r="A21" s="1"/>
      <c r="B21" s="1"/>
      <c r="C21" s="1"/>
      <c r="D21" s="1"/>
      <c r="E21" s="1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5A7A5F70C1C824DA0736D782A64AF9B" ma:contentTypeVersion="0" ma:contentTypeDescription="Create a new document." ma:contentTypeScope="" ma:versionID="150592e5cdf54c24dd07506992224d5a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27CF579-8ED5-4140-ACFD-52C4BE3A710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A7BE66-52F8-44DE-BC55-2E2EFF003768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FA13220-61A7-425A-A1FB-76DE6303D6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MENU</vt:lpstr>
      <vt:lpstr>Affinitas</vt:lpstr>
      <vt:lpstr>Agresso</vt:lpstr>
      <vt:lpstr>Oracle</vt:lpstr>
      <vt:lpstr>info</vt:lpstr>
      <vt:lpstr>;)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Cegielski, Rafal</dc:creator>
  <cp:keywords/>
  <dc:description/>
  <cp:lastModifiedBy>Cegielski, Rafal</cp:lastModifiedBy>
  <cp:revision/>
  <dcterms:created xsi:type="dcterms:W3CDTF">2017-04-12T06:56:59Z</dcterms:created>
  <dcterms:modified xsi:type="dcterms:W3CDTF">2018-09-14T05:41:54Z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0x01010045A7A5F70C1C824DA0736D782A64AF9B</vt:lpwstr>
  </property>
</Properties>
</file>